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100502\Downloads\"/>
    </mc:Choice>
  </mc:AlternateContent>
  <xr:revisionPtr revIDLastSave="0" documentId="13_ncr:1_{11F52033-E5EF-46D3-ACF6-012889147F6F}" xr6:coauthVersionLast="47" xr6:coauthVersionMax="47" xr10:uidLastSave="{00000000-0000-0000-0000-000000000000}"/>
  <bookViews>
    <workbookView xWindow="-108" yWindow="-108" windowWidth="23256" windowHeight="12456" tabRatio="920" firstSheet="4" activeTab="12" xr2:uid="{00000000-000D-0000-FFFF-FFFF00000000}"/>
  </bookViews>
  <sheets>
    <sheet name="Instruções" sheetId="1" r:id="rId1"/>
    <sheet name="TAP" sheetId="19" r:id="rId2"/>
    <sheet name="EAP" sheetId="18" r:id="rId3"/>
    <sheet name="Declaração de Escopo do Projeto" sheetId="2" r:id="rId4"/>
    <sheet name="Cronograma Inicial" sheetId="4" r:id="rId5"/>
    <sheet name="Recursos" sheetId="6" r:id="rId6"/>
    <sheet name="Matriz de Responsabilidades" sheetId="7" r:id="rId7"/>
    <sheet name="Orçamento 1" sheetId="3" r:id="rId8"/>
    <sheet name="Orçamento 2" sheetId="23" r:id="rId9"/>
    <sheet name="Qualidade" sheetId="20" r:id="rId10"/>
    <sheet name="Plano de Riscos" sheetId="9" r:id="rId11"/>
    <sheet name="Stakeholders" sheetId="5" r:id="rId12"/>
    <sheet name="Lições Aprendidas" sheetId="22" r:id="rId13"/>
    <sheet name="Plano de Comunicação" sheetId="8" r:id="rId14"/>
    <sheet name="Solicitação de Mudanças" sheetId="10" r:id="rId15"/>
    <sheet name="Termo de Encerramento" sheetId="11" r:id="rId16"/>
    <sheet name="Controle de Versões" sheetId="12" r:id="rId17"/>
  </sheets>
  <definedNames>
    <definedName name="_xlnm.Print_Area" localSheetId="16">'Controle de Versões'!$A$2:$I$36</definedName>
    <definedName name="_xlnm.Print_Area" localSheetId="4">'Cronograma Inicial'!$A$2:$F$26</definedName>
    <definedName name="_xlnm.Print_Area" localSheetId="0">Instruções!$A$2:$E$26</definedName>
    <definedName name="_xlnm.Print_Area" localSheetId="6">'Matriz de Responsabilidades'!$A$2:$P$53</definedName>
    <definedName name="_xlnm.Print_Area" localSheetId="7">'Orçamento 1'!$A$2:$F$21</definedName>
    <definedName name="_xlnm.Print_Area" localSheetId="13">'Plano de Comunicação'!#REF!</definedName>
    <definedName name="_xlnm.Print_Area" localSheetId="10">'Plano de Riscos'!$A$2:$P$33</definedName>
    <definedName name="_xlnm.Print_Area" localSheetId="5">Recursos!$A$2:$H$21</definedName>
    <definedName name="_xlnm.Print_Area" localSheetId="11">Stakeholders!$A$2:$J$28</definedName>
    <definedName name="_xlnm.Print_Titles" localSheetId="3">'Declaração de Escopo do Projeto'!$2:$4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3" l="1"/>
  <c r="E12" i="23"/>
  <c r="E11" i="23"/>
  <c r="E10" i="23"/>
  <c r="E9" i="23"/>
  <c r="E8" i="23"/>
  <c r="E7" i="23"/>
  <c r="E6" i="23"/>
  <c r="B3" i="23"/>
  <c r="E7" i="3"/>
  <c r="E8" i="3"/>
  <c r="E9" i="3"/>
  <c r="E10" i="3"/>
  <c r="E11" i="3"/>
  <c r="E12" i="3"/>
  <c r="E13" i="3"/>
  <c r="E6" i="3"/>
  <c r="B3" i="12"/>
  <c r="B3" i="10"/>
  <c r="B3" i="11"/>
  <c r="B3" i="9"/>
  <c r="B3" i="7"/>
  <c r="B3" i="6"/>
  <c r="B3" i="5"/>
  <c r="B3" i="4"/>
  <c r="B3" i="3"/>
  <c r="E18" i="23" l="1"/>
  <c r="E20" i="23" s="1"/>
  <c r="E18" i="3"/>
  <c r="E2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7" authorId="0" shapeId="0" xr:uid="{00000000-0006-0000-0300-000001000000}">
      <text>
        <r>
          <rPr>
            <sz val="8"/>
            <color indexed="8"/>
            <rFont val="Tahoma"/>
            <family val="2"/>
          </rPr>
          <t>Cliente - para uma gerência específica.</t>
        </r>
      </text>
    </comment>
    <comment ref="J9" authorId="0" shapeId="0" xr:uid="{00000000-0006-0000-0300-000002000000}">
      <text>
        <r>
          <rPr>
            <sz val="8"/>
            <color indexed="8"/>
            <rFont val="Tahoma"/>
            <family val="2"/>
          </rPr>
          <t>Corporativo - aplicado a área de E&amp;P.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900-000001000000}">
      <text>
        <r>
          <rPr>
            <sz val="8"/>
            <color indexed="8"/>
            <rFont val="Tahoma"/>
            <family val="2"/>
          </rPr>
          <t>Consequências para o projeto caso o evento ocorra.</t>
        </r>
      </text>
    </comment>
    <comment ref="K8" authorId="0" shapeId="0" xr:uid="{00000000-0006-0000-0900-000002000000}">
      <text>
        <r>
          <rPr>
            <sz val="8"/>
            <color indexed="8"/>
            <rFont val="Tahoma"/>
            <family val="2"/>
          </rPr>
          <t>Descrição das ações que possibilitem o controle e/ou a eliminação do risco. As ações de contingência para as situações mais críticas devem ser explicitadas.</t>
        </r>
      </text>
    </comment>
    <comment ref="O8" authorId="0" shapeId="0" xr:uid="{00000000-0006-0000-0900-000003000000}">
      <text>
        <r>
          <rPr>
            <sz val="8"/>
            <color indexed="8"/>
            <rFont val="Tahoma"/>
            <family val="2"/>
          </rPr>
          <t>Ocorreu
Não ocorreu
Risco eliminado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0" authorId="0" shapeId="0" xr:uid="{00000000-0006-0000-0C00-000001000000}">
      <text>
        <r>
          <rPr>
            <b/>
            <sz val="8"/>
            <color indexed="8"/>
            <rFont val="Tahoma"/>
            <family val="2"/>
          </rPr>
          <t>A - alta
M - média
B - baixa</t>
        </r>
      </text>
    </comment>
    <comment ref="C35" authorId="0" shapeId="0" xr:uid="{00000000-0006-0000-0C00-000002000000}">
      <text>
        <r>
          <rPr>
            <sz val="8"/>
            <color indexed="8"/>
            <rFont val="Tahoma"/>
            <family val="2"/>
          </rPr>
          <t>Nova versão do cronograma deve ser entregue junto a esta solicitação, caso o prazo sofra impactos.</t>
        </r>
      </text>
    </comment>
    <comment ref="B38" authorId="0" shapeId="0" xr:uid="{00000000-0006-0000-0C00-000003000000}">
      <text>
        <r>
          <rPr>
            <sz val="8"/>
            <color indexed="8"/>
            <rFont val="Tahoma"/>
            <family val="2"/>
          </rPr>
          <t>Documentos que sofram impacto com a mudança sugerida.</t>
        </r>
      </text>
    </comment>
    <comment ref="B72" authorId="0" shapeId="0" xr:uid="{00000000-0006-0000-0C00-000004000000}">
      <text>
        <r>
          <rPr>
            <sz val="8"/>
            <color indexed="8"/>
            <rFont val="Tahoma"/>
            <family val="2"/>
          </rPr>
          <t>Usar caso exista mais de uma pessoa responsável pelas aprovações no projeto.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7" authorId="0" shapeId="0" xr:uid="{00000000-0006-0000-0D00-000001000000}">
      <text>
        <r>
          <rPr>
            <sz val="8"/>
            <color indexed="8"/>
            <rFont val="Tahoma"/>
            <family val="2"/>
          </rPr>
          <t>Cliente - para uma gerência específica.</t>
        </r>
      </text>
    </comment>
    <comment ref="J9" authorId="0" shapeId="0" xr:uid="{00000000-0006-0000-0D00-000002000000}">
      <text>
        <r>
          <rPr>
            <sz val="8"/>
            <color indexed="8"/>
            <rFont val="Tahoma"/>
            <family val="2"/>
          </rPr>
          <t>Corporativo - aplicado a área de E&amp;P.</t>
        </r>
      </text>
    </comment>
    <comment ref="B39" authorId="0" shapeId="0" xr:uid="{00000000-0006-0000-0D00-000003000000}">
      <text>
        <r>
          <rPr>
            <sz val="8"/>
            <color indexed="8"/>
            <rFont val="Tahoma"/>
            <family val="2"/>
          </rPr>
          <t>Comentários relacionados a tempo, custo, RH, qualidade, Índice de Desempenho entre outros.</t>
        </r>
      </text>
    </comment>
  </commentList>
</comments>
</file>

<file path=xl/sharedStrings.xml><?xml version="1.0" encoding="utf-8"?>
<sst xmlns="http://schemas.openxmlformats.org/spreadsheetml/2006/main" count="1275" uniqueCount="654">
  <si>
    <t>Intruções de Preenchimento</t>
  </si>
  <si>
    <t>Objetivo deste documento:</t>
  </si>
  <si>
    <t>Armazenar todo documento de Gerenciamento do Projeto, utilizado pela coordenação deste, bem como todas as solicitações de mudanças nos projetos; Controle de Versões; Pendências; Recursos e Riscos.</t>
  </si>
  <si>
    <t>Documento</t>
  </si>
  <si>
    <t>Descrição</t>
  </si>
  <si>
    <t>Declaração de Escopo do Projeto</t>
  </si>
  <si>
    <t>X</t>
  </si>
  <si>
    <t>Classificação do processo</t>
  </si>
  <si>
    <t>WBS ou EAP</t>
  </si>
  <si>
    <t>Descreve o objetivo, métrica e o tipo de trabalho que será realizado ou a entrega. É responsável por garantir o entendimento do produto ou a entrega que serão gerados pela equipe do projeto. A estrutura desenhada deverá ser apresentada à parte em Microsoft Word ou Excel ou Power Point ou ainda em formato de figura.</t>
  </si>
  <si>
    <t>Orçamento</t>
  </si>
  <si>
    <t>Cronograma inicial</t>
  </si>
  <si>
    <t>Stakeholders</t>
  </si>
  <si>
    <t>Recursos</t>
  </si>
  <si>
    <t>Matriz de Responsabilidades</t>
  </si>
  <si>
    <t>Define as responsabilidades e sua abrangência para todos os  envolvidos no projeto.</t>
  </si>
  <si>
    <t>Plano de Comunicação</t>
  </si>
  <si>
    <t>Define todas as reuniões e eventos previstos no projeto e suas especifidades.</t>
  </si>
  <si>
    <t>Plano de Riscos</t>
  </si>
  <si>
    <t>Estabelece um plano de ação para tratar os riscos de acordo com a identificação e/ou análise. Todo e qualquer risco identificado, tornará o preenchimento deste documento obrigatório.</t>
  </si>
  <si>
    <t>Solicitação de Mudanças</t>
  </si>
  <si>
    <t>Documento utilizado para registrar, avaliar e controlar as solicitações de alterações no projeto. Toda e qualquer mudança no projeto, tornará o preenchimento deste documento obrigatório.</t>
  </si>
  <si>
    <t>Termo de Encerramento</t>
  </si>
  <si>
    <t>Fornece as informações sobre o término do projeto e suas entregas incluindo a sua avaliação e a aprovação do encerramento.</t>
  </si>
  <si>
    <t>Versões</t>
  </si>
  <si>
    <t>Utilizado para acompanhar e registrar as alterações realizadas nas diversas planilhas deste documento incluindo os documentos WBS e cronograma.</t>
  </si>
  <si>
    <t>Aprovações</t>
  </si>
  <si>
    <t>Data:</t>
  </si>
  <si>
    <t>Gerente:</t>
  </si>
  <si>
    <t>Declaração de escopo do Projeto</t>
  </si>
  <si>
    <t>1. Nome do Projeto</t>
  </si>
  <si>
    <t>Cliente</t>
  </si>
  <si>
    <t>Sigla do projeto:</t>
  </si>
  <si>
    <t>Corporativo</t>
  </si>
  <si>
    <t>Classificação do processo:</t>
  </si>
  <si>
    <t>CORPORATIVO</t>
  </si>
  <si>
    <t>2. Objetivo / Escopo</t>
  </si>
  <si>
    <t>4. Justificativa</t>
  </si>
  <si>
    <t>5. Descrição</t>
  </si>
  <si>
    <t>6. Premissas</t>
  </si>
  <si>
    <t xml:space="preserve">7. Lista de entregas principais </t>
  </si>
  <si>
    <t>8. Exclusões de Escopo</t>
  </si>
  <si>
    <t>9. Matriz Hierárquica</t>
  </si>
  <si>
    <t>Quantidade</t>
  </si>
  <si>
    <t>Total (R$)</t>
  </si>
  <si>
    <t>Custo do Projeto (A)</t>
  </si>
  <si>
    <t>Reserva de Contingência (B)</t>
  </si>
  <si>
    <t>Custo Final (A + B)</t>
  </si>
  <si>
    <t>Cronograma</t>
  </si>
  <si>
    <t>Marco do Projeto</t>
  </si>
  <si>
    <t>Responsável</t>
  </si>
  <si>
    <t>Duração</t>
  </si>
  <si>
    <t>Data de Entrega</t>
  </si>
  <si>
    <t>Nome</t>
  </si>
  <si>
    <t>Contato</t>
  </si>
  <si>
    <t>Legenda</t>
  </si>
  <si>
    <t>Alto</t>
  </si>
  <si>
    <t>Médio</t>
  </si>
  <si>
    <t>Baixo</t>
  </si>
  <si>
    <t>Horário dos Recursos</t>
  </si>
  <si>
    <t>Turno</t>
  </si>
  <si>
    <t>Segunda</t>
  </si>
  <si>
    <t>Terça</t>
  </si>
  <si>
    <t>Quarta</t>
  </si>
  <si>
    <t>Quinta</t>
  </si>
  <si>
    <t>Sexta</t>
  </si>
  <si>
    <t>Manhã</t>
  </si>
  <si>
    <t>Tarde</t>
  </si>
  <si>
    <t>Descrição dos Recursos</t>
  </si>
  <si>
    <t>Chave ou E-mail</t>
  </si>
  <si>
    <t>Telefone Comercial</t>
  </si>
  <si>
    <t>Telefone Celular</t>
  </si>
  <si>
    <t>Responsabilidades</t>
  </si>
  <si>
    <t>Chave</t>
  </si>
  <si>
    <t>ID</t>
  </si>
  <si>
    <t>Plano de Resposta aos Riscos</t>
  </si>
  <si>
    <t>Identificação do Risco</t>
  </si>
  <si>
    <t>Resposta ao Risco</t>
  </si>
  <si>
    <t>Descrição do Risco</t>
  </si>
  <si>
    <t>Probabilidade</t>
  </si>
  <si>
    <t>Impacto previsto</t>
  </si>
  <si>
    <t>Consequências</t>
  </si>
  <si>
    <t>Estratégia para Ação</t>
  </si>
  <si>
    <t>Classificação do Risco</t>
  </si>
  <si>
    <t>Impacto</t>
  </si>
  <si>
    <t>Situação</t>
  </si>
  <si>
    <t>Número do Doc:</t>
  </si>
  <si>
    <t>Aprovado por:</t>
  </si>
  <si>
    <t>Prazo</t>
  </si>
  <si>
    <t>Alta</t>
  </si>
  <si>
    <t>Solicitação de mudanças Nº: 1</t>
  </si>
  <si>
    <t>Este documento somente deve ser preenchido em caso de mudanças no projeto (escopo, prazo, custo, etc).</t>
  </si>
  <si>
    <t>Esta seção deve ser preenchida pelo requisitante.</t>
  </si>
  <si>
    <t>Descrição da Solicitação</t>
  </si>
  <si>
    <t>Motivo da Solicitação</t>
  </si>
  <si>
    <t>Impactos</t>
  </si>
  <si>
    <t>Documentos de Referência</t>
  </si>
  <si>
    <t>Anexos</t>
  </si>
  <si>
    <t>Parecer</t>
  </si>
  <si>
    <t>Termo de encerramento do Projeto</t>
  </si>
  <si>
    <t>Responsável Cliente:</t>
  </si>
  <si>
    <t>2. Entregas do Projeto</t>
  </si>
  <si>
    <t>Nº</t>
  </si>
  <si>
    <t>3. Status do Projeto / Avaliação</t>
  </si>
  <si>
    <t xml:space="preserve">[  ] Excelente   </t>
  </si>
  <si>
    <t>[  ] Cancelado</t>
  </si>
  <si>
    <t>[  ] Suspenso</t>
  </si>
  <si>
    <t xml:space="preserve">[  ] Bom  </t>
  </si>
  <si>
    <t>[  ] Paralisado</t>
  </si>
  <si>
    <t>[  ] Regular</t>
  </si>
  <si>
    <t>[  ] Insuficiente</t>
  </si>
  <si>
    <t>4. Justificativa para o Status</t>
  </si>
  <si>
    <t>5. Conclusões e Lições Aprendidas</t>
  </si>
  <si>
    <t>7. Responsáveis pela Autorização de Encerramento do Projeto</t>
  </si>
  <si>
    <t>8. Data / Responsável pela Aprovação:</t>
  </si>
  <si>
    <t>Controle de Versões</t>
  </si>
  <si>
    <t>#</t>
  </si>
  <si>
    <t>Data</t>
  </si>
  <si>
    <t>Versão Anterior</t>
  </si>
  <si>
    <t>Versão Atual</t>
  </si>
  <si>
    <t>Descrição do conteúdo do documento e principais mudanças em relação a versão anterior</t>
  </si>
  <si>
    <t>x</t>
  </si>
  <si>
    <t>Responsável GP:</t>
  </si>
  <si>
    <t>Causa</t>
  </si>
  <si>
    <t>Modo de detecção</t>
  </si>
  <si>
    <t>Baixa</t>
  </si>
  <si>
    <t>Média</t>
  </si>
  <si>
    <t>Análise Qualitativa</t>
  </si>
  <si>
    <t>Análise Quantitativa</t>
  </si>
  <si>
    <t>Custo</t>
  </si>
  <si>
    <t>Queda de estrutura</t>
  </si>
  <si>
    <t>Falha estrutural</t>
  </si>
  <si>
    <t>Reprovação do projeto</t>
  </si>
  <si>
    <t>Revisar croquis proposto/ conceber projeto autoportante</t>
  </si>
  <si>
    <t>Ação realizada</t>
  </si>
  <si>
    <t>Visual</t>
  </si>
  <si>
    <t>Iniciação</t>
  </si>
  <si>
    <t>Planejamento</t>
  </si>
  <si>
    <t>Execução</t>
  </si>
  <si>
    <t>Encerramento</t>
  </si>
  <si>
    <t>C</t>
  </si>
  <si>
    <t>A</t>
  </si>
  <si>
    <t>R</t>
  </si>
  <si>
    <t>Somente um responsável pela entrega</t>
  </si>
  <si>
    <t>Rv</t>
  </si>
  <si>
    <t>Revisão</t>
  </si>
  <si>
    <t>Responsável pela revisão</t>
  </si>
  <si>
    <t>Aprovação</t>
  </si>
  <si>
    <t>Responsável pela aprovação</t>
  </si>
  <si>
    <t>Consultado</t>
  </si>
  <si>
    <t>Pessoa a ser consultada antes que a decisão seja tomada</t>
  </si>
  <si>
    <t>I</t>
  </si>
  <si>
    <t>Informado</t>
  </si>
  <si>
    <t>Pessoa a ser informada sobre a decisão tomada</t>
  </si>
  <si>
    <t>P</t>
  </si>
  <si>
    <t>Participante</t>
  </si>
  <si>
    <t>Pessoa que suporta ou participa da execução</t>
  </si>
  <si>
    <t>Identificar partes interessadas</t>
  </si>
  <si>
    <t>Desenvolver p TAP</t>
  </si>
  <si>
    <t>Coletar requisitos</t>
  </si>
  <si>
    <t xml:space="preserve">Definir o escopo
</t>
  </si>
  <si>
    <t xml:space="preserve">Criar a EAP
</t>
  </si>
  <si>
    <t xml:space="preserve">Definir as atividades
</t>
  </si>
  <si>
    <t xml:space="preserve">Sequenciar atividades
</t>
  </si>
  <si>
    <t xml:space="preserve">Estimar os recursos das atividades
</t>
  </si>
  <si>
    <t xml:space="preserve">Estimar as durações das atividades
</t>
  </si>
  <si>
    <t xml:space="preserve">Desenvolver o cronograma
</t>
  </si>
  <si>
    <t xml:space="preserve">Estimar custos
</t>
  </si>
  <si>
    <t>Determinar o orçamento</t>
  </si>
  <si>
    <t xml:space="preserve">Planejar as respostas aos riscos
</t>
  </si>
  <si>
    <t xml:space="preserve">Planejar o gerenciamento das partes interessadas
</t>
  </si>
  <si>
    <t xml:space="preserve">Planejar o gerenciamento da qualidade
</t>
  </si>
  <si>
    <t xml:space="preserve">Planejar o gerenciamento dos recursos humanos
</t>
  </si>
  <si>
    <t>Planejar o gerenciamento das aquisições</t>
  </si>
  <si>
    <t>Planejar o gerenciamento das comunicações</t>
  </si>
  <si>
    <t>Identificar os riscos</t>
  </si>
  <si>
    <t>Realizar a análise qualitativa dos riscos</t>
  </si>
  <si>
    <t xml:space="preserve">
Realizar a garantia de qualidade
</t>
  </si>
  <si>
    <t xml:space="preserve">Mobilizar a e desenvolver a  equipe do projeto
</t>
  </si>
  <si>
    <t xml:space="preserve">
Gerenciar a equipe do projeto
</t>
  </si>
  <si>
    <t xml:space="preserve">Conduzir as aquisições
</t>
  </si>
  <si>
    <t xml:space="preserve">
Gerenciar as comunicações
</t>
  </si>
  <si>
    <t>Controle</t>
  </si>
  <si>
    <t>Validar o escopo</t>
  </si>
  <si>
    <t xml:space="preserve">Controlar o escopo
</t>
  </si>
  <si>
    <t xml:space="preserve">Controlar o cronograma
</t>
  </si>
  <si>
    <t xml:space="preserve">Controlar os custos
</t>
  </si>
  <si>
    <t>Controlar a qualidade</t>
  </si>
  <si>
    <t xml:space="preserve">Controlar as aquisições
</t>
  </si>
  <si>
    <t xml:space="preserve">Controlar as comunicações
</t>
  </si>
  <si>
    <t xml:space="preserve">Controlar os riscos
</t>
  </si>
  <si>
    <t xml:space="preserve">Encerrar as aquisições
</t>
  </si>
  <si>
    <t xml:space="preserve">Encerrar o projeto ou fase do projeto
</t>
  </si>
  <si>
    <t>Escopo</t>
  </si>
  <si>
    <t>Tempo</t>
  </si>
  <si>
    <t>Custos</t>
  </si>
  <si>
    <t>Qualidade</t>
  </si>
  <si>
    <t>RH</t>
  </si>
  <si>
    <t>Aquisições</t>
  </si>
  <si>
    <t>Comunicações</t>
  </si>
  <si>
    <t>Riscos</t>
  </si>
  <si>
    <t>STKH</t>
  </si>
  <si>
    <t>Com.</t>
  </si>
  <si>
    <t>Qual.</t>
  </si>
  <si>
    <t>Integração</t>
  </si>
  <si>
    <t>Inic.</t>
  </si>
  <si>
    <t>Gerenciamento</t>
  </si>
  <si>
    <t>Papéis  Chaves</t>
  </si>
  <si>
    <t>1. IDENTIFICAÇÃO</t>
  </si>
  <si>
    <t>Conforme previsto no plano estratégico</t>
  </si>
  <si>
    <t>Projeto:</t>
  </si>
  <si>
    <t>2. JUSTIFICATIVA</t>
  </si>
  <si>
    <t>4. ESCOPO</t>
  </si>
  <si>
    <t>4.1. Descrição</t>
  </si>
  <si>
    <t>4.3. Objetivos específicos</t>
  </si>
  <si>
    <t>5. PRAZO ESTIMADO</t>
  </si>
  <si>
    <t>6. ORÇAMENTO ESTIMADO</t>
  </si>
  <si>
    <t>7. PRINCIPAIS PARTES INTERESSADAS</t>
  </si>
  <si>
    <t>9. PRINCIPAIS RISCOS, FATORES CRÍTICOS, PREMISSAS OU RESTRIÇÕES</t>
  </si>
  <si>
    <t>9.1. Principais riscos</t>
  </si>
  <si>
    <t>9.2. Fatores críticos de sucesso</t>
  </si>
  <si>
    <t>9.3. Premissas</t>
  </si>
  <si>
    <t>9.4. Restrições</t>
  </si>
  <si>
    <t>10. RESPONSÁVEIS</t>
  </si>
  <si>
    <t>Patrocinador:</t>
  </si>
  <si>
    <t>Telefone:</t>
  </si>
  <si>
    <t>E-mail:</t>
  </si>
  <si>
    <t>11. APROVAÇÃO</t>
  </si>
  <si>
    <t>11.1. Aprovação</t>
  </si>
  <si>
    <t>Assinatura</t>
  </si>
  <si>
    <t>12. CIÊNCIA</t>
  </si>
  <si>
    <t>Patrocinador</t>
  </si>
  <si>
    <t>Gerente</t>
  </si>
  <si>
    <t>Matriz de graduação do risco</t>
  </si>
  <si>
    <t xml:space="preserve">Média </t>
  </si>
  <si>
    <t>Probabilidade = Chance de ocorrência do risco</t>
  </si>
  <si>
    <t>Impacto = Efeitos, consequência sobre os objetivos do projeto, se o evento de risco ocorrer</t>
  </si>
  <si>
    <t>2. COMUNICAÇÃO</t>
  </si>
  <si>
    <t>Conteúdo (o quê?)</t>
  </si>
  <si>
    <t>Público-alvo (para quem?)</t>
  </si>
  <si>
    <t>Canal (como?)</t>
  </si>
  <si>
    <t>Periodicidade ou momento (quando?)</t>
  </si>
  <si>
    <t>Responsável (quem?)</t>
  </si>
  <si>
    <t>Os projetos deverão ter o plano de comunicação descrito, com todas as reuniões e eventos definidos conforme abrangência e natureza dos projetos.</t>
  </si>
  <si>
    <t>Nome do Projeto:</t>
  </si>
  <si>
    <t>Controle de versões</t>
  </si>
  <si>
    <t>Versão</t>
  </si>
  <si>
    <t>Autor</t>
  </si>
  <si>
    <t>Notas de revisão</t>
  </si>
  <si>
    <t xml:space="preserve">Termo de Abertura do projeto </t>
  </si>
  <si>
    <t>4.2. Marcos</t>
  </si>
  <si>
    <t>8. EQUIPE DE PROJETO</t>
  </si>
  <si>
    <t>Autorizar o início do projeto, atribuir principais responsáveis e documentar requisitos iniciais, principais entregas, premissas e restrições.</t>
  </si>
  <si>
    <t>Objetivo do documento:</t>
  </si>
  <si>
    <t>Warren Buffet</t>
  </si>
  <si>
    <t>Obrigatoriedade</t>
  </si>
  <si>
    <t>Gerente de Projeto</t>
  </si>
  <si>
    <t>Seguradora</t>
  </si>
  <si>
    <t>3. Processo(s) da Cadeia de Valor de EAP</t>
  </si>
  <si>
    <t>Declaração de escopo;</t>
  </si>
  <si>
    <t>Elaboração de cronograma;</t>
  </si>
  <si>
    <t>Execução da estrutura;</t>
  </si>
  <si>
    <t>Elaboração dos planos de qualidade, custos, stakeholders, aquisições, risco, comunicação, recursos humanos;</t>
  </si>
  <si>
    <t>Termo de encerramento com lições aprendidas.</t>
  </si>
  <si>
    <t>Elaboração da matriz de responsabilidades;</t>
  </si>
  <si>
    <t>Aquisição dos materiais;</t>
  </si>
  <si>
    <t>PONTO A VERIFICAR</t>
  </si>
  <si>
    <t>STATUS</t>
  </si>
  <si>
    <t>DOCUMENTAÇÃO</t>
  </si>
  <si>
    <t>O projeto fez uso de um macro planning?</t>
  </si>
  <si>
    <t>SIM</t>
  </si>
  <si>
    <t>O cumprimento do cronograma foi realizado?</t>
  </si>
  <si>
    <t>A EAP contemplou as fases de planejamento e execução?</t>
  </si>
  <si>
    <t>Os gastos até a data presente do cronograma atendem ao orçamento previsto?</t>
  </si>
  <si>
    <t>Os cargos e funções foram escritos e seguidos?</t>
  </si>
  <si>
    <t>Os custos das obras sofreram alteração ao longo da execução?</t>
  </si>
  <si>
    <t>O escopo sofreu alteração ao logo da execução do projeto?</t>
  </si>
  <si>
    <t>EXECUÇÃO</t>
  </si>
  <si>
    <t>As estapas do projeto foram obecedidas e cumpridas como planejado?</t>
  </si>
  <si>
    <t>Houve disperdício de material? Ou falta dele?</t>
  </si>
  <si>
    <t>Os materiais usados na construção eram compatíveis com o que foi descrito e solicitado?</t>
  </si>
  <si>
    <t>A construção atendeu as normas ambientais? Atendeu os requisitos de sustentabilidade?</t>
  </si>
  <si>
    <t>Os riscos foram conhecidos e descritos?</t>
  </si>
  <si>
    <t>A construção utilizou materiais não oficiais?</t>
  </si>
  <si>
    <t>O fornecedor atendeu aos requisitos de qualidade dos materiais?</t>
  </si>
  <si>
    <t>A construção foi realizada dentro da área prevista de 1m²?</t>
  </si>
  <si>
    <t>Mitigar</t>
  </si>
  <si>
    <t>Durante e após a produção</t>
  </si>
  <si>
    <t xml:space="preserve">Responsável pela aprovação: </t>
  </si>
  <si>
    <t>Fase</t>
  </si>
  <si>
    <t>Durante o Planejamento do Projeto (reuniões de definições)</t>
  </si>
  <si>
    <t>Reunião presencial</t>
  </si>
  <si>
    <t>Durante a Execução e Controle do Projeto</t>
  </si>
  <si>
    <t>Após entrega do projeto</t>
  </si>
  <si>
    <t>Termo de abertura do projeto</t>
  </si>
  <si>
    <t>Alteração do orçamento estimado com base no plano de aquisições.</t>
  </si>
  <si>
    <t>Interesse</t>
  </si>
  <si>
    <t>Poder</t>
  </si>
  <si>
    <t>Procedimentos de Controle de Qualidade</t>
  </si>
  <si>
    <t>O controle de qualidade do projeto será realizado na conclusão de cada entrega antes que a mesma seja enviada ao cliente final. O controle de qualidade será realizado através de inspeção nas entregas utilizando-se os checklists apresentados em anexo e respectivamente, os seus indicadores, a fim de manter a qualidade do projeto e alimentar o processo de melhoria contínua. Foram editadas Boas Práticas (Anexo II) para assegurar uniformidade no processo.</t>
  </si>
  <si>
    <t>Processos de Monitoramento</t>
  </si>
  <si>
    <t xml:space="preserve">Requisito </t>
  </si>
  <si>
    <t>Indicador</t>
  </si>
  <si>
    <t>Meta</t>
  </si>
  <si>
    <t>Frequência</t>
  </si>
  <si>
    <t>Quem Mede</t>
  </si>
  <si>
    <t>Onde Registra</t>
  </si>
  <si>
    <t>Plano de Resposta</t>
  </si>
  <si>
    <t>Ação</t>
  </si>
  <si>
    <t>Quando</t>
  </si>
  <si>
    <t>Materiais</t>
  </si>
  <si>
    <t>Visual e táctil</t>
  </si>
  <si>
    <t>Comprador</t>
  </si>
  <si>
    <t>Termo de aceite de produto entregue*</t>
  </si>
  <si>
    <t>Testar o material</t>
  </si>
  <si>
    <t>Ao receber</t>
  </si>
  <si>
    <t>Sustentabilidade</t>
  </si>
  <si>
    <t>Uniformidade no processo</t>
  </si>
  <si>
    <t>Solidez na construção</t>
  </si>
  <si>
    <t>Técnica de Aferição</t>
  </si>
  <si>
    <t>Obter 100% de material de qualidade para construir a torre (folhas de nicraly, cola adesiva plástica, fita adesiva, ferramenta de corte)</t>
  </si>
  <si>
    <t>Aferição de  conformidade</t>
  </si>
  <si>
    <t xml:space="preserve">3. OBJETIVO </t>
  </si>
  <si>
    <t>XXXXXXX</t>
  </si>
  <si>
    <r>
      <t xml:space="preserve">Classificação do Gestor do processo quanto ao nível de segurança das informações que serão modeladas, onde:
</t>
    </r>
    <r>
      <rPr>
        <b/>
        <sz val="9"/>
        <rFont val="Verdana"/>
        <family val="2"/>
      </rPr>
      <t xml:space="preserve">Confidencial: </t>
    </r>
    <r>
      <rPr>
        <sz val="9"/>
        <rFont val="Verdana"/>
        <family val="2"/>
      </rPr>
      <t xml:space="preserve">deve ser atribuída às informações que garantem à conpanhia a obtenção de vantagens competitivas; às que descrevem uma parte significante dos seus negócios; às que contêm estratégias operacionais de longo prazo; e àquelas que têm um impacto potencialmente sério nas políticas e práticas relacionadas a recursos humanos. 
</t>
    </r>
    <r>
      <rPr>
        <b/>
        <sz val="9"/>
        <rFont val="Verdana"/>
        <family val="2"/>
      </rPr>
      <t>Corporativo:</t>
    </r>
    <r>
      <rPr>
        <sz val="9"/>
        <rFont val="Verdana"/>
        <family val="2"/>
      </rPr>
      <t xml:space="preserve"> deve ser atribuída às informações que podem ser de conhecimento dos usuários internos da companhia;
</t>
    </r>
    <r>
      <rPr>
        <b/>
        <sz val="9"/>
        <rFont val="Verdana"/>
        <family val="2"/>
      </rPr>
      <t>Reservado:</t>
    </r>
    <r>
      <rPr>
        <sz val="9"/>
        <rFont val="Verdana"/>
        <family val="2"/>
      </rPr>
      <t xml:space="preserve"> deve ser atribuída às informações que garantem à companhia a manutenção das suas vantagens competitivas; às que descrevem uma parte dos seus negócios; às que contêm planos operacionais de curto e médio prazo.</t>
    </r>
  </si>
  <si>
    <t>Fornece o entendimento comum do Projeto a todas as partes interessadas, descrevendo os principais objetivos, escopo, processos da Cadeia de Valor tratados, produtos ou serviços, premissas, restrições, entregáveis e matriz hierárquica.</t>
  </si>
  <si>
    <t>Previsão de custos despendidos com os recursos necessários para execução do projeto(neste modelo, restrito à custos de aquisições + consultoria);</t>
  </si>
  <si>
    <r>
      <t xml:space="preserve">Cronograma inicial para aprovação do projeto. Contém as etapas do projeto nível macro, com os marcos, data de inicício e previsão de término. 
</t>
    </r>
    <r>
      <rPr>
        <b/>
        <sz val="9"/>
        <rFont val="Verdana"/>
        <family val="2"/>
      </rPr>
      <t>OBS:</t>
    </r>
    <r>
      <rPr>
        <sz val="9"/>
        <rFont val="Verdana"/>
        <family val="2"/>
      </rPr>
      <t xml:space="preserve"> O Cronograma completo deverá ser apresentado à parte, com todos os eventos do projeto. </t>
    </r>
  </si>
  <si>
    <t>Define os membros que serão stakeholders e suas especifidades de função no projeto e identifica a existência de grupos de stakeholders externos à organização.</t>
  </si>
  <si>
    <t>Relaciona as informações dos recursos humanos envolvidos para execução do projeto e seus horários de participação.</t>
  </si>
  <si>
    <t xml:space="preserve">Data: </t>
  </si>
  <si>
    <t>Departamento</t>
  </si>
  <si>
    <t>Respostas ao risco</t>
  </si>
  <si>
    <t>Aceitar</t>
  </si>
  <si>
    <t>Transferir</t>
  </si>
  <si>
    <t>Eliminar</t>
  </si>
  <si>
    <t>Identificação</t>
  </si>
  <si>
    <t>Equipe de projeto</t>
  </si>
  <si>
    <t>Sponsor/ Cliente</t>
  </si>
  <si>
    <t>Positivo</t>
  </si>
  <si>
    <t>Negativo</t>
  </si>
  <si>
    <t>Neutro</t>
  </si>
  <si>
    <t>Gerenciar de perto</t>
  </si>
  <si>
    <t>Sponsor</t>
  </si>
  <si>
    <t>Fernanda</t>
  </si>
  <si>
    <t>Nick O´Neil</t>
  </si>
  <si>
    <t>Bueno</t>
  </si>
  <si>
    <t>Fornecedor</t>
  </si>
  <si>
    <t>Prof. Ricardo Soares</t>
  </si>
  <si>
    <t>Facilitador</t>
  </si>
  <si>
    <t>Everton</t>
  </si>
  <si>
    <t>Fabi</t>
  </si>
  <si>
    <t>Design e Engenharia</t>
  </si>
  <si>
    <t>João</t>
  </si>
  <si>
    <t>Suprimentos e Logística</t>
  </si>
  <si>
    <t>Diego</t>
  </si>
  <si>
    <t>Bench</t>
  </si>
  <si>
    <t>Matheus</t>
  </si>
  <si>
    <t>Marciane</t>
  </si>
  <si>
    <t>Documentação</t>
  </si>
  <si>
    <t>Matheus e Marciane</t>
  </si>
  <si>
    <t>Fernanda Leandro Fonseca de Souza</t>
  </si>
  <si>
    <t>(61) 98110-0155</t>
  </si>
  <si>
    <t>Auditor</t>
  </si>
  <si>
    <t>Lições Aprendidas</t>
  </si>
  <si>
    <t xml:space="preserve">Apresentação e Aprovação do Escopo Estratégico </t>
  </si>
  <si>
    <t>Nick O' Neil</t>
  </si>
  <si>
    <t>Ocorrência</t>
  </si>
  <si>
    <t>Não foi realizado um estudo mais aprofundado sobre o histórico dos Stakeholders</t>
  </si>
  <si>
    <t>Diponibilidade orçamentária U$ 20.000.000,00</t>
  </si>
  <si>
    <t>Consultar o linkedin para identificar o histórico do Stakeholders</t>
  </si>
  <si>
    <t xml:space="preserve">Não foi indicado na Missão da Vertex Engenharia Brasil qual é o prazo estimado para o alcance da Missão </t>
  </si>
  <si>
    <t>Fernanda
Carlos Eduardo
Everton
Fabi
João
Diego
Matheus
Marciane</t>
  </si>
  <si>
    <t>Definido que a missão será alcançada em 2030</t>
  </si>
  <si>
    <t>Riscos do Projeto
Colapso ou tombamento estrutural da torre: Risco de instabilidade física vertical por vento, falha de contraventamento ou sobrecarga nas emendas, levando à reprovação sumária da entrega perante a banca.
Monopólio do fornecedor Bueno e desabastecimento de cimento geopolimérico: Vulnerabilidade à fixação de preços e atrasos na entrega dos kits fechados pelo fornecedor exclusivo, paralisando a montagem da fachada.
Autuação e aplicação de multa por infração concorrencial: Risco de sanção no valor de US$ 1.000.000,00 caso ocorra qualquer transação monetária ou compra compartilhada com empresas concorrentes.
Estouro de orçamento por alterações não planejadas: Custo mandatório de US$ 100.000,00 para cada solicitação de mudança pós-apresentação formal do plano, gerando corrosão das reservas financeiras.
Discrepância geométrica entre croqui e obra física: Penalização ou perda de pontos no critério de simetria e estética caso a torre executada apresente desvios visuais em relação ao desenho técnico homologado.
Perda ou rasgo de placas cimentícias (folhas A4): Impossibilidade de fechar 100% da fachada devido a danos mecânicos durante a dobragem/colagem, sem possibilidade de devolução ou recompra de kits fracionados.
Extrapolação do horário de entrega (prazo fatal): Atraso na finalização da obra física ou na submissão do dossiê documental único até às 16:30, resultando em pontuação mínima de prazo ou desclassificação.</t>
  </si>
  <si>
    <t>D</t>
  </si>
  <si>
    <t>R01</t>
  </si>
  <si>
    <t>Colapso ou tombamento estrutural da torre durante a montagem, os testes ou a apresentação.</t>
  </si>
  <si>
    <t>Ação do vento; contraventamento insuficiente; falha nas emendas; distribuição inadequada de cargas; sobrecarga estrutural.</t>
  </si>
  <si>
    <t>Inspeção visual de prumo e emendas; medição de deslocamentos; teste progressivo de estabilidade; identificação de deformações, fissuras ou oscilações excessivas.</t>
  </si>
  <si>
    <t>Danos à estrutura; necessidade de reconstrução; atraso; risco às pessoas; reprovação sumária da entrega perante a banca.</t>
  </si>
  <si>
    <t>Muito alto, podendo resultar em perda integral da entrega.</t>
  </si>
  <si>
    <t>Crítico</t>
  </si>
  <si>
    <t>Validar previamente o projeto estrutural; instalar contraventamentos; reforçar pontos de emenda; controlar cargas; executar protótipo e teste de estabilidade antes da apresentação.</t>
  </si>
  <si>
    <t>A estimar</t>
  </si>
  <si>
    <t>Antes da montagem definitiva e da apresentação</t>
  </si>
  <si>
    <t>Aberto</t>
  </si>
  <si>
    <t>R02</t>
  </si>
  <si>
    <t>Interrupção do fornecimento ou aumento de preços do cimento geopolimérico em razão da dependência do fornecedor exclusivo Bueno.</t>
  </si>
  <si>
    <t>Existência de fornecedor único; fornecimento apenas por kits fechados; ausência de estoque de segurança ou alternativa previamente aprovada.</t>
  </si>
  <si>
    <t>Acompanhamento de estoque; confirmação formal do pedido; monitoramento dos prazos de fabricação e entrega; comunicação periódica com o fornecedor.</t>
  </si>
  <si>
    <t>Paralisação da montagem da fachada; atraso no cronograma; aumento de custos; impossibilidade de reposição tempestiva de materiais.</t>
  </si>
  <si>
    <t>Alto, com potencial de interromper uma etapa crítica do projeto.</t>
  </si>
  <si>
    <t>Antecipar a compra; reservar os kits necessários; negociar garantia de fornecimento e prazo; manter estoque de segurança; avaliar previamente materiais substitutos permitidos pelo regulamento.</t>
  </si>
  <si>
    <t>Imediato e antes do início da montagem da fachada</t>
  </si>
  <si>
    <t>R03</t>
  </si>
  <si>
    <t>Autuação e aplicação de multa por infração às regras concorrenciais.</t>
  </si>
  <si>
    <t>Realização de transação monetária, compra compartilhada, rateio ou transferência de materiais com empresas concorrentes.</t>
  </si>
  <si>
    <t>Revisão prévia das aquisições e pagamentos; conferência de comprovantes; validação dos fornecedores e participantes de cada transação; auditoria dos registros financeiros.</t>
  </si>
  <si>
    <r>
      <t xml:space="preserve">Multa de </t>
    </r>
    <r>
      <rPr>
        <b/>
        <sz val="10"/>
        <rFont val="Segoe UI"/>
        <family val="2"/>
      </rPr>
      <t>US$ 1.000.000,00</t>
    </r>
    <r>
      <rPr>
        <sz val="10"/>
        <rFont val="Segoe UI"/>
        <family val="2"/>
      </rPr>
      <t>; comprometimento do orçamento; possível desclassificação; danos reputacionais e questionamentos de conformidade.</t>
    </r>
  </si>
  <si>
    <r>
      <t>US$ 1.000.000,00</t>
    </r>
    <r>
      <rPr>
        <sz val="10"/>
        <rFont val="Segoe UI"/>
        <family val="2"/>
      </rPr>
      <t>, além dos possíveis efeitos administrativos e reputacionais.</t>
    </r>
  </si>
  <si>
    <t>Evitar</t>
  </si>
  <si>
    <t>Proibir compras, pagamentos ou compartilhamento de custos com concorrentes; centralizar aquisições em responsável autorizado; documentar todas as transações; submeter situações duvidosas à validação prévia.</t>
  </si>
  <si>
    <t>Gerente do Projeto / Auditor</t>
  </si>
  <si>
    <t>Custo preventivo a estimar; exposição máxima de US$ 1.000.000,00</t>
  </si>
  <si>
    <t>Durante todo o projeto, especialmente antes das aquisições</t>
  </si>
  <si>
    <t>R04</t>
  </si>
  <si>
    <t>Estouro do orçamento em decorrência de alterações solicitadas após a apresentação formal do plano.</t>
  </si>
  <si>
    <t>Definição incompleta do escopo; requisitos não validados; falhas de planejamento; aprovação antecipada de uma solução ainda sujeita a alterações.</t>
  </si>
  <si>
    <t>Registro e comparação das solicitações de mudança; acompanhamento da linha de base do escopo e dos custos; revisão periódica do orçamento.</t>
  </si>
  <si>
    <r>
      <t xml:space="preserve">Acréscimo obrigatório de </t>
    </r>
    <r>
      <rPr>
        <b/>
        <sz val="10"/>
        <rFont val="Segoe UI"/>
        <family val="2"/>
      </rPr>
      <t>US$ 100.000,00 por alteração</t>
    </r>
    <r>
      <rPr>
        <sz val="10"/>
        <rFont val="Segoe UI"/>
        <family val="2"/>
      </rPr>
      <t>; consumo das reservas; inviabilidade financeira; redução de recursos para outras entregas.</t>
    </r>
  </si>
  <si>
    <r>
      <t>US$ 100.000,00 por solicitação de mudança</t>
    </r>
    <r>
      <rPr>
        <sz val="10"/>
        <rFont val="Segoe UI"/>
        <family val="2"/>
      </rPr>
      <t xml:space="preserve"> realizada após a apresentação formal.</t>
    </r>
  </si>
  <si>
    <t>Congelar o escopo antes da apresentação; validar requisitos e desenho com todas as áreas; realizar revisão técnica final; exigir análise de impacto e aprovação do Sponsor para qualquer mudança posterior.</t>
  </si>
  <si>
    <t>Gerente do Projeto / Sponsor</t>
  </si>
  <si>
    <t>Custo preventivo a estimar; exposição de US$ 100.000,00 por alteração</t>
  </si>
  <si>
    <t>Antes da apresentação formal do plano</t>
  </si>
  <si>
    <t>R05</t>
  </si>
  <si>
    <t>Divergência entre a geometria da torre construída e o croqui técnico homologado.</t>
  </si>
  <si>
    <t>Erros de medição; interpretação inadequada do desenho; perda de escala; cortes imprecisos; falhas de montagem ou ausência de gabaritos.</t>
  </si>
  <si>
    <t>Comparação periódica entre a obra e o croqui; medição de altura, largura, alinhamento e diagonais; uso de gabaritos; inspeção fotográfica das etapas.</t>
  </si>
  <si>
    <t>Perda de pontos nos critérios de simetria e estética; retrabalho; consumo adicional de material; possível rejeição parcial da entrega.</t>
  </si>
  <si>
    <t>Alto, com efeito direto na avaliação técnica e estética.</t>
  </si>
  <si>
    <t>Converter o croqui em desenho cotado; definir tolerâncias; utilizar gabaritos; conferir medidas por etapa; homologar um protótipo antes da montagem final.</t>
  </si>
  <si>
    <t>Durante toda a montagem, com validação final antes da entrega</t>
  </si>
  <si>
    <t>R06</t>
  </si>
  <si>
    <t>Perda, rasgo ou inutilização das placas cimentícias em formato A4 durante o manuseio e a montagem.</t>
  </si>
  <si>
    <t>Dobragem ou colagem inadequada; manuseio incorreto; armazenamento impróprio; umidade; cortes errados; ausência de peças avulsas para reposição.</t>
  </si>
  <si>
    <t>Inspeção no recebimento; controle individual das placas; acompanhamento das perdas durante corte, dobra e colagem; verificação do estoque remanescente.</t>
  </si>
  <si>
    <t>Impossibilidade de fechar 100% da fachada; falhas estéticas; retrabalho; atraso; impossibilidade de devolução ou recompra de kits fracionados.</t>
  </si>
  <si>
    <t>Alto, podendo impedir a conclusão integral da fachada.</t>
  </si>
  <si>
    <t>Treinar a equipe; testar previamente a técnica de dobra e colagem; armazenar as placas em local seco e protegido; manusear uma peça por vez; planejar cortes; adquirir margem de segurança por meio de kits adicionais completos, se permitido.</t>
  </si>
  <si>
    <t>Design e Engenharia / Suprimentos e Logística</t>
  </si>
  <si>
    <t>Antes e durante a montagem da fachada</t>
  </si>
  <si>
    <t>R07</t>
  </si>
  <si>
    <t>Extrapolação do horário-limite de entrega da obra física ou do dossiê documental.</t>
  </si>
  <si>
    <t>Atrasos na montagem; retrabalho; falhas na integração das equipes; documentação incompleta; ausência de controle do caminho crítico; submissão deixada para o último momento.</t>
  </si>
  <si>
    <t>Monitoramento do cronograma; verificação de marcos intermediários; checklist da entrega; contagem regressiva; acompanhamento separado da obra física e do dossiê.</t>
  </si>
  <si>
    <t>Pontuação mínima no critério prazo; perda de pontos; entrega incompleta; possível desclassificação do projeto.</t>
  </si>
  <si>
    <t>Muito alto, podendo comprometer integralmente a avaliação do projeto.</t>
  </si>
  <si>
    <r>
      <t xml:space="preserve">Estabelecer prazo interno anterior às </t>
    </r>
    <r>
      <rPr>
        <b/>
        <sz val="10"/>
        <rFont val="Segoe UI"/>
        <family val="2"/>
      </rPr>
      <t>16h30</t>
    </r>
    <r>
      <rPr>
        <sz val="10"/>
        <rFont val="Segoe UI"/>
        <family val="2"/>
      </rPr>
      <t>; concluir a montagem e o dossiê com antecedência; designar responsáveis distintos pela obra e pela documentação; realizar simulação de entrega; manter contingência para impressão e submissão.</t>
    </r>
  </si>
  <si>
    <t>Gerente do Projeto / Documentação</t>
  </si>
  <si>
    <r>
      <t xml:space="preserve">Entrega obrigatória até </t>
    </r>
    <r>
      <rPr>
        <b/>
        <sz val="10"/>
        <rFont val="Segoe UI"/>
        <family val="2"/>
      </rPr>
      <t>16h30</t>
    </r>
    <r>
      <rPr>
        <sz val="10"/>
        <rFont val="Segoe UI"/>
        <family val="2"/>
      </rPr>
      <t>, com prazo interno antecipado</t>
    </r>
  </si>
  <si>
    <t>Preparado por: Matheus e Marciane</t>
  </si>
  <si>
    <t>Disponibilidade contínua de insumos pelo fornecedor: Assume-se que o fornecedor Bueno manterá estoque suficiente de kits fechados para atendimento imediato no horário de aquisições (14:20 às 14:30).
Apoio e cooperação interorganizacional sem moeda: Premissa de que as empresas concorrentes estarão dispostas a realizar permutas e doações físicas de insumos excedentes para otimização mútua.
Integridade dos insumos fornecidos: Assume-se que as folhas de papel A4 e fitas adesivas entregues atendem aos requisitos de resistência mecânica e propriedades de manuseio esperados.
Conectividade e estabilidade dos canais digitais: Premissa de funcionamento contínuo do e-mail corporativo para o envio tempestivo do dossiê em arquivo único até o limite das 16:30.
Autonomia da gestão de projeto: A liderança possui autoridade para alocar papéis internos e ajustar métodos operacionais de acordo com a estratégia corporativa aprovada.</t>
  </si>
  <si>
    <t>Nick O'Neil</t>
  </si>
  <si>
    <t>Destaque a consulta ao especialista no início do projeto, assim informações importantes para o bom andamento do projeto já foram obtidas na iniciação</t>
  </si>
  <si>
    <t>Projetar, viabilizar e construir uma torre corporativa e multifuncional de grande porte na escala física de 1:350,
posicionada entre as edificações mais altas do mundo sem contato com o teto físico do ambiente, implantada
estritamente dentro da área limite de 1 m² demarcada no piso. O empreendimento integra com equilíbrio
arquitetônico uma tripla vocação (1/3 comercial, 1/3 residencial e 1/3 turístico), adotando tecnologia ativa de
cimento geopolimérico fotocatalítico com TiO2 para autolimpeza e despoluição ambiental em conformidade com
critérios ESG e de ciclo de vida (EN 15804), mantendo o custo contido no teto orçamentário de US$ 20.000.000,00 e
concluindo todas as entregas gerenciais e físicas até às 16:30 do dia 23/10/2026.</t>
  </si>
  <si>
    <t>O projeto compreende o planejamento, a construção e a entrega da LendLease Aurora Tower, uma torre corporativa e multifuncional em escala 1:350, implantada integralmente em uma área máxima de 1 m². A edificação deverá ser autoportante, sem fixações externas e sem contato com o teto do ambiente.
A torre será composta por três segmentos funcionais: comercial, residencial e turístico, incorporando fachada integralmente fechada em cimento geopolimérico fotocatalítico com dióxido de titânio. A construção deverá manter fidelidade ao croqui homologado, estabilidade estrutural, simetria e acabamento compatível com os critérios de avaliação.
O escopo gerencial contempla a elaboração e a consolidação dos 15 artefatos do template oficial, o controle do orçamento dentro do limite de US$ 20.000.000,00, a gestão dos riscos, a auditoria cruzada do concorrente, o controle das aquisições e a entrega de um dossiê digital único até as 16h30 de 23/10/2026.</t>
  </si>
  <si>
    <t>Vertex Londrina 360</t>
  </si>
  <si>
    <t>VL</t>
  </si>
  <si>
    <t>O empreendimento Vertex Aurora 360 justifica-se pela oportunidade de criar uma edificação icônica, sustentável e multifuncional, capaz de integrar, em um único projeto, espaços destinados a atividades comerciais, residenciais e turísticas. Essa combinação amplia a atratividade do empreendimento e fortalece sua proposta de valor ao atender diferentes públicos e finalidades de uso.
A adoção de uma fachada em cimento geopolimérico fotocatalítico com dióxido de titânio (TiO₂) reforça o compromisso do projeto com inovação, sustentabilidade e redução de impactos ambientais. A tecnologia foi incorporada à proposta para viabilizar propriedades de autolimpeza e despoluição ambiental, em alinhamento com critérios ESG e de ciclo de vida previstos no projeto.
Além de seu valor arquitetônico, o empreendimento representa um desafio estratégico de engenharia e gestão: construir uma torre autoportante, em escala 1:350, integralmente inserida em uma área máxima de 1 m², mantendo estabilidade estrutural, fidelidade ao croqui homologado, qualidade estética e eficiência na utilização dos materiais.
Sob a perspectiva gerencial, o projeto também permite demonstrar a capacidade da Vertex Engenharia Brasil de integrar planejamento, engenharia, suprimentos, gestão de riscos, controle orçamentário, auditoria e documentação. A execução deverá respeitar o limite de US$ 20.000.000,00, as regras de aquisição e concorrência e o prazo estabelecido para a entrega física e documental.
Dessa forma, o Vertex Aurora 360 posiciona-se como uma referência de inovação construtiva, sustentabilidade e excelência em gestão de projetos, transformando uma solução arquitetônica de grande impacto em uma entrega tecnicamente consistente, financeiramente controlada e alinhada às expectativas do cliente.
Ajustes realizados: a justificativa conecta a necessidade do empreendimento aos seus diferenciais comerciais, ambientais, técnicos e gerenciais, evitando repetir apenas o objetivo ou a descrição do escopo.</t>
  </si>
  <si>
    <t>Aprovação do Croquis Estrutural</t>
  </si>
  <si>
    <t xml:space="preserve">Nesta etapa foi discutido que poderia ter alguma restrição referente aos materiais disponíveis para a construção da Torre. Ponto importantíssimo. Alguns recursos tem limite de quantidade. </t>
  </si>
  <si>
    <t>Folha A4 de cimento geopolimérico branca</t>
  </si>
  <si>
    <t>Folha A4 de cimento geopolimérico colorida</t>
  </si>
  <si>
    <t>Rolo de fita crepe 28 mm × 50 m</t>
  </si>
  <si>
    <t>Tubo de cola</t>
  </si>
  <si>
    <t>Kit com 20 canudos plásticos</t>
  </si>
  <si>
    <t>Kit com 20 palitos grandes</t>
  </si>
  <si>
    <t>Tesoura grande</t>
  </si>
  <si>
    <t>Kit de barbante 3 metros</t>
  </si>
  <si>
    <t>Custo Unitário (U$)</t>
  </si>
  <si>
    <t xml:space="preserve">Projetar, viabilizar e construir a maior torre em Londrina como um marco arquitetônico e visual da cidade, uma torre corporativa e multifuncional, posicionada entre as edificações mais altas do mundo. O empreendimento integra com equilíbrio arquitetônico uma tripla vocação comercial, residencial e turístico. O projeto busca integrar beleza, inovação, segurança, eficiência e sustentabilidade, adotando soluções construtivas diferenciadas e princípios de logística reversa, de forma a contribuir para o desenvolvimento urbano, além de posicionar a Vertex Engenharia Brasil como referência em engenharia inovadora e sustentável.adotando tecnologia ativa de cimento geopolimérico fotocatalítico com TiO2 para autolimpeza e despoluição ambiental em conformidade com critérios ESG e de ciclo de vida (EN 15804). </t>
  </si>
  <si>
    <t>O projeto compreende o planejamento, a construção e a entrega da LendLease Aurora Tower, uma torre corporativa e multifuncional.
A torre será composta por três segmentos funcionais: comercial, residencial e turístico, incorporando fachada integralmente fechada em cimento geopolimérico fotocatalítico com dióxido de titânio. A construção deverá manter fidelidade ao croqui homologado, estabilidade estrutural, simetria e acabamento compatível com os critérios de avaliação.
O escopo gerencial contempla a elaboração e a consolidação dos 15 artefatos do template oficial, o controle do orçamento dentro do limite de US$ 20.000.000,00, a gestão dos riscos, a auditoria cruzada do concorrente, o controle das aquisições e a entrega do edifício protótipo, com no mínimo 2 metros até as 16:30 do dia 23/10/2026, construído com os materiais adquirido com o fornecedor Bueno.</t>
  </si>
  <si>
    <t xml:space="preserve">4.2.1: Projeto autorizado: TAP aprovado e governança estabelecida.
4.2.2: Solução homologada: croqui, requisitos e critérios técnicos validados.
4.2.3: Recursos assegurados: materiais adquiridos e orçamento protegido.
4.2.4: Estrutura estabilizada: torre autoportante construída dentro da área delimitada construída a partir dos materiais fornecidos até as 16h30 de 23/10/2026.
4.2.5: Gestão consolidada: 15 artefatos gerenciais finalizados e revisados.
4.2.6: Conformidade demonstrada: auditoria cruzada realizada e documentação enviada ao Stakeholder Ricardo.
</t>
  </si>
  <si>
    <t>Estabilidade e autossustentação da estrutura: A torre deve permanecer íntegra e autoportante apoiada no piso até o encerramento da avaliação final.
Fechamento e vedação completa da fachada: Aplicação contínua das placas cimentícias geopoliméricas (folhas A4) em todo o perímetro do edifício.
Aderência rigorosa à escala e simetria: Fidelidade dimensional à proporção 1:350, mantendo proporcionalidade volumétrica e alinhamento visual com o croqui arquitetônico.
Pontualidade na entrega integrada: Conclusão da montagem física da torre e envio do arquivo consolidado de documentação antes das 16:30 para o facilitador.
Equilíbrio orçamentário e conformidade fiscal: Execução de todas as aquisições dentro do teto de US$ 20.000.000,00, buscando mitigar ocorrências de multas regulatórias.
Aprovação na auditoria cruzada: Rastreabilidade e consistência documental entre o planejado e o realizado, suportando a auditoria externa do concorrente.</t>
  </si>
  <si>
    <t>Carlos Eduardo</t>
  </si>
  <si>
    <t>Disponibilidade contínua de insumos pelo fornecedor: Assume-se que o fornecedor Bueno manterá estoque suficiente de kits fechados para atendimento imediato no horário de aquisições (14:20 às 14:30).
Apoio e cooperação interorganizacional sem moeda: Premissa de que as empresas concorrentes estarão dispostas a realizar permutas e doações físicas de insumos excedentes para otimização mútua.
Integridade dos insumos fornecidos: Assume-se que as folhas de papel A4, fitas adesivas e todos os materiais recebidos atendem aos requisitos de resistência mecânica e propriedades de manuseio esperados.
Conectividade e estabilidade dos canais digitais: Premissa de funcionamento do e-mail corporativo para o envio tempestivo do dossiê em arquivo único até o limite das 16:30.
Autonomia da gestão de projeto: A liderança possui autoridade para alocar papéis internos e ajustar métodos operacionais de acordo com a estratégia corporativa aprovada.</t>
  </si>
  <si>
    <t>Gerente do Projeto / Equipe</t>
  </si>
  <si>
    <t>Restrição Orçamentária: Teto financeiro improrrogável de US$ 20.000.000,00 para aquisição de materiais e cobertura de contingências.
Restrição Temporal e Marcos da Agenda: Cumprimento estrito dos marcos horários, com conclusão física/documental mandatória até às 16:30.
Restrição Espacial e Territorial: A obra deve ser obrigatoriamente construída dentro do terreno delimitado por fita adesiva no piso, na área designada próxima à mesa da equipe.
Restrição Física de Altura: A torre tem como limite superior intransponível o teto físico da sala de aula.
Restrições de Compras e Fornecimento: Proibição de compras fracionadas (apenas kits fechados), proibição de devolução de sobras e proibição de transações monetárias entre equipes concorrentes.
Restrição de Governança Documental: Obrigatoriedade de submissão do dossiê em arquivo único estruturado a partir do template oficial homologado pelo cliente.</t>
  </si>
  <si>
    <t>Escopo estratégico aprovado</t>
  </si>
  <si>
    <t>Apresentação e aprovação do escopo estratégico</t>
  </si>
  <si>
    <t>Apresentação e aprovação do croqui estrutural</t>
  </si>
  <si>
    <t>16:30 às 17:30</t>
  </si>
  <si>
    <t>17:30 às 18:00</t>
  </si>
  <si>
    <t>Gerente do Projeto</t>
  </si>
  <si>
    <t>Marco</t>
  </si>
  <si>
    <t>23/10 – 11:00</t>
  </si>
  <si>
    <t>Entregas e materiais aprovados</t>
  </si>
  <si>
    <t>23/10 – 11:30</t>
  </si>
  <si>
    <t>Croqui estrutural aprovado</t>
  </si>
  <si>
    <t>Engenharia</t>
  </si>
  <si>
    <t>Plano de aquisições aprovado</t>
  </si>
  <si>
    <t>Suprimentos</t>
  </si>
  <si>
    <t>23/10 – 12:30</t>
  </si>
  <si>
    <t>Área de implantação liberada</t>
  </si>
  <si>
    <t>Materiais adquiridos</t>
  </si>
  <si>
    <t>23/10 – 14:30</t>
  </si>
  <si>
    <t>Torre concluída e documentação entregue</t>
  </si>
  <si>
    <t>Engenharia / Gerente do Projeto</t>
  </si>
  <si>
    <t>23/10 – 16:30</t>
  </si>
  <si>
    <t>Projeto avaliado e encerrado</t>
  </si>
  <si>
    <t>23/10 – 18:00</t>
  </si>
  <si>
    <t>Obs. essa planilha mostra os principais gates do projeto</t>
  </si>
  <si>
    <t>Ricardo</t>
  </si>
  <si>
    <r>
      <rPr>
        <b/>
        <sz val="10"/>
        <rFont val="Verdana"/>
        <family val="2"/>
      </rPr>
      <t xml:space="preserve">          Motivação para alteração do Plano de Aquisição</t>
    </r>
    <r>
      <rPr>
        <sz val="10"/>
        <rFont val="Verdana"/>
        <family val="2"/>
      </rPr>
      <t xml:space="preserve">
O orçamento sofreu alteração devido ao fim do estoque do material "Kit com 20 palitos grandes", reduzindo sua aquisição de 2 para 1 e sendo necessário incluir um "Kit com 20 canudos plásticos" no novo plano de aquisições. 
Não houve aplicação de multa, pois a alteração foi devido ao estoque disponível no mercado.  </t>
    </r>
  </si>
  <si>
    <t>• Construção de uma edificação real ou em escala 1:1; a entrega limita-se ao protótipo físico em escala 1:350.
• Obras civis, fundações, instalações elétricas, hidráulicas, sanitárias, climatização, elevadores e sistemas de combate a incêndio funcionais.
• Aquisição de terrenos, licenciamento urbanístico ou ambiental, alvarás, habite-se e demais autorizações de uma obra real.
• Certificações formais de sustentabilidade, desempenho, segurança ou conformidade — inclusive ESG, EN 15804 e ensaios laboratoriais do material.
• Operação, manutenção, comercialização, ocupação ou gestão posterior dos segmentos comercial, residencial e turístico.
• Mobiliário, paisagismo, decoração interna, maquetes complementares e recursos eletrônicos não previstos na lista de materiais aprovada.
• Alterações no croqui homologado, na proporção funcional de 1/3 por segmento, na área-limite de 1 m², no orçamento ou no prazo sem solicitação de mudança aprovada.
• Suporte, garantia, reparos ou reconstrução após a avaliação e o encerramento formal do projeto.</t>
  </si>
  <si>
    <t>1. Termo de Abertura do Projeto aprovado.</t>
  </si>
  <si>
    <t>2. Declaração de Escopo consolidada, com premissas, restrições, exclusões e critérios de aceitação.</t>
  </si>
  <si>
    <t>3. Estrutura Analítica do Projeto (EAP/WBS) e matriz hierárquica das entregas.</t>
  </si>
  <si>
    <t>4. Cronograma do projeto, contemplando atividades, responsáveis, marcos e prazo final.</t>
  </si>
  <si>
    <t>5. Orçamento e plano de custos, incluindo aquisições e reserva de contingência.</t>
  </si>
  <si>
    <t>6. Plano de aquisições e lista final de materiais aprovados.</t>
  </si>
  <si>
    <t>7. Plano de qualidade, com requisitos, inspeções e critérios de avaliação do protótipo.</t>
  </si>
  <si>
    <t>8. Plano de riscos, com análise, respostas, responsáveis e acompanhamento.</t>
  </si>
  <si>
    <t>9. Plano de comunicação, com públicos, canais, frequência e responsáveis.</t>
  </si>
  <si>
    <t>10. Identificação e análise das partes interessadas (stakeholders).</t>
  </si>
  <si>
    <t>11. Plano de recursos e matriz de responsabilidades da equipe.</t>
  </si>
  <si>
    <t>12. Croqui estrutural homologado e especificação da torre em escala 1:350.</t>
  </si>
  <si>
    <t>13. Torre física autoportante e multifuncional, concluída na área-limite de 1 m².</t>
  </si>
  <si>
    <t>14. Dossiê digital único, contendo os artefatos gerenciais e registros de controle de versões e mudanças.</t>
  </si>
  <si>
    <t>15. Termo de Encerramento e registro das lições aprendidas, com aceite final do projeto.</t>
  </si>
  <si>
    <t>O empreendimento Vertex Londrina 360 justifica-se pela oportunidade de criar uma edificação icônica, sustentável e multifuncional, capaz de integrar, em um único projeto, espaços destinados a atividades comerciais, residenciais e turísticas. Essa combinação amplia a atratividade do empreendimento e fortalece sua proposta de valor ao atender diferentes públicos e finalidades de uso. A adoção de uma fachada em cimento geopolimérico fotocatalítico com dióxido de titânio (TiO₂) reforça o compromisso do projeto com inovação, sustentabilidade e redução de impactos ambientais. A tecnologia foi incorporada à proposta para viabilizar propriedades de autolimpeza e despoluição ambiental, em alinhamento com critérios ESG e de ciclo de vida previstos no projeto.
Além de seu valor arquitetônico, o empreendimento representa um desafio estratégico de engenharia e gestão: construir uma torre autoportante, em escala 1:350, integralmente inserida em uma área máxima de 1 m², mantendo estabilidade estrutural, fidelidade ao croqui homologado, qualidade estética e eficiência na utilização dos materiais.
Sob a perspectiva gerencial, o projeto também permite demonstrar a capacidade da Vertex Engenharia Brasil de integrar planejamento, engenharia, suprimentos, gestão de riscos, controle orçamentário, auditoria e documentação. A execução deverá respeitar o limite de US$ 20.000.000,00, as regras de aquisição e concorrência e o prazo estabelecido para a entrega física e documental. Dessa forma, o Vertex Londrina 360 posiciona-se como uma referência de inovação construtiva, sustentabilidade e excelência em gestão de projetos, transformando uma solução arquitetônica de grande impacto em uma entrega tecnicamente consistente, financeiramente controlada e alinhada às expectativas do cliente.</t>
  </si>
  <si>
    <t>Briefing e alinhamento dos requisitos</t>
  </si>
  <si>
    <t>7h e 30min</t>
  </si>
  <si>
    <t>23/10 – 12:00</t>
  </si>
  <si>
    <t>Apresentação do sumário de entregas e lista de materiais</t>
  </si>
  <si>
    <t>Apresentação e aprovação do plano de aquisições</t>
  </si>
  <si>
    <t>23/10 – 14:40</t>
  </si>
  <si>
    <t>Equipe do projeto</t>
  </si>
  <si>
    <t>Sponsor / Cliente</t>
  </si>
  <si>
    <t>Sponsor / Equipe</t>
  </si>
  <si>
    <t>Início do projeto</t>
  </si>
  <si>
    <t>fernanda.alves@example.com</t>
  </si>
  <si>
    <t>(61) 3100-1201</t>
  </si>
  <si>
    <t>(61) 99101-2201</t>
  </si>
  <si>
    <t>diego.martins@example.com</t>
  </si>
  <si>
    <t>(61) 3100-1202</t>
  </si>
  <si>
    <t>(61) 99102-2202</t>
  </si>
  <si>
    <t>carlos.eduardo@example.com</t>
  </si>
  <si>
    <t>(61) 3100-1203</t>
  </si>
  <si>
    <t>(61) 99103-2203</t>
  </si>
  <si>
    <t>matheus.pessoa@example.com</t>
  </si>
  <si>
    <t>(61) 3100-1204</t>
  </si>
  <si>
    <t>(61) 99104-2204</t>
  </si>
  <si>
    <t>marciane.silva@example.com</t>
  </si>
  <si>
    <t>(61) 3100-1205</t>
  </si>
  <si>
    <t>(61) 99105-2205</t>
  </si>
  <si>
    <t>everton.rocha@example.com</t>
  </si>
  <si>
    <t>(61) 3100-1206</t>
  </si>
  <si>
    <t>(61) 99106-2206</t>
  </si>
  <si>
    <t>fabi.souza@example.com</t>
  </si>
  <si>
    <t>(61) 3100-1207</t>
  </si>
  <si>
    <t>(61) 99107-2207</t>
  </si>
  <si>
    <t>joao.lima@example.com</t>
  </si>
  <si>
    <t>(61) 3100-1208</t>
  </si>
  <si>
    <t>(61) 99108-2208</t>
  </si>
  <si>
    <t>Responsável Técnico</t>
  </si>
  <si>
    <t>Responsável de Suprimentos</t>
  </si>
  <si>
    <t>Liberação do terreno e delimitação da área de implantação</t>
  </si>
  <si>
    <t>Alinhamento para início da construção</t>
  </si>
  <si>
    <t>Comunicação do andamento, riscos e desvios</t>
  </si>
  <si>
    <t>Comunicação da conclusão da torre e entrega da documentação</t>
  </si>
  <si>
    <t>Equipe de execução</t>
  </si>
  <si>
    <t>Comunicação direta / reunião</t>
  </si>
  <si>
    <t>Antes do início da montagem</t>
  </si>
  <si>
    <t>Durante a construção</t>
  </si>
  <si>
    <t>Auditor/Qualidade</t>
  </si>
  <si>
    <t>Apresentação dos resultados e lições aprendidas</t>
  </si>
  <si>
    <t>Sponsor / Equipe / Cliente</t>
  </si>
  <si>
    <t>Plenária presencial</t>
  </si>
  <si>
    <t>Comunicação de encerramento do projeto</t>
  </si>
  <si>
    <t>Sponsor / Cliente / Equipe</t>
  </si>
  <si>
    <t>Plano de Aquisições</t>
  </si>
  <si>
    <t>Após a aprovação do Croquis, time demorou para elaborar o plano de aquisições, mesmo sabendo das restrições de materias, ficando como últimos a adquirir os materiais</t>
  </si>
  <si>
    <t>Melhorar a organização para estruturar o plano, visto a concorrência entre os projetos.</t>
  </si>
  <si>
    <t>Fornedor</t>
  </si>
  <si>
    <t>Professor</t>
  </si>
  <si>
    <t>Londrina 360</t>
  </si>
  <si>
    <t>NÃO</t>
  </si>
  <si>
    <t>Conformidade dos materiais e descarte</t>
  </si>
  <si>
    <t>100% dos materiais aprovados e resíduos segregados</t>
  </si>
  <si>
    <t>Inspeção visual e conferência da lista de materiais</t>
  </si>
  <si>
    <t>Em cada aquisição e ao final da montagem</t>
  </si>
  <si>
    <t>Checklist de sustentabilidade</t>
  </si>
  <si>
    <t>Segregar resíduos e substituir item não conforme</t>
  </si>
  <si>
    <t>Na identificação do desvio</t>
  </si>
  <si>
    <t>Aderência ao croqui e ao método de montagem</t>
  </si>
  <si>
    <t>100% das etapas críticas executadas conforme o padrão aprovado</t>
  </si>
  <si>
    <t>Checklist por etapa, inspeção visual e registro fotográfico</t>
  </si>
  <si>
    <t>Ao concluir cada etapa de montagem</t>
  </si>
  <si>
    <t>Checklist de execução e registro fotográfico</t>
  </si>
  <si>
    <t>Corrigir a etapa antes de iniciar a seguinte</t>
  </si>
  <si>
    <t>Imediatamente após a inspeção</t>
  </si>
  <si>
    <t>Estabilidade, prumo e integridade da torre</t>
  </si>
  <si>
    <t>Torre autoportante, sem tombamento, deformação crítica ou apoio externo</t>
  </si>
  <si>
    <t>Inspeção visual, verificação de prumo e teste progressivo de estabilidade</t>
  </si>
  <si>
    <t>Durante a montagem e antes da entrega</t>
  </si>
  <si>
    <t>Termo de inspeção estrutural</t>
  </si>
  <si>
    <t>Reforçar emendas e contraventamentos e repetir o teste</t>
  </si>
  <si>
    <t>Antes da apresentação final</t>
  </si>
  <si>
    <t>23/10/2026</t>
  </si>
  <si>
    <t>Pacote gerencial consolidado: TAP, escopo, EAP, cronograma, orçamento, planos e matriz RACI.</t>
  </si>
  <si>
    <t>Fernanda / Matheus / Marciane</t>
  </si>
  <si>
    <t>Croqui homologado e torre física autoportante em escala 1:350, dentro da área de 1 m².</t>
  </si>
  <si>
    <t>Everton / Fabi</t>
  </si>
  <si>
    <t>Aquisição e disponibilização dos materiais conforme plano revisado e limite orçamentário.</t>
  </si>
  <si>
    <t>João / Bueno</t>
  </si>
  <si>
    <t>Inspeções de qualidade, auditoria, dossiê final, lições aprendidas e termo de encerramento.</t>
  </si>
  <si>
    <t>Carlos Eduardo / Fernanda</t>
  </si>
  <si>
    <t>[X] Encerrado</t>
  </si>
  <si>
    <t>[X] Muito Bom</t>
  </si>
  <si>
    <t>O projeto Vertex Londrina 360 foi encerrado após a execução das entregas gerenciais e físicas previstas, conforme os registros disponíveis no workbook.</t>
  </si>
  <si>
    <t>A avaliação final é Muito Bom, considerando o atendimento dos objetivos, a economia obtida e as oportunidades de melhoria identificadas em stakeholders e aquisições.</t>
  </si>
  <si>
    <t>Conclusão: o projeto demonstrou integração entre gestão, engenharia, suprimentos, documentação, qualidade, riscos e sustentabilidade na entrega do protótipo.</t>
  </si>
  <si>
    <t>Recomendação: arquivar os checklists finais, formalizar o aceite do cliente e encerrar administrativamente os riscos residuais após a aprovação deste termo.</t>
  </si>
  <si>
    <t>Os marcos contemplaram aprovação do escopo, entregas, materiais, croqui, aquisições, liberação da área, conclusão da torre e encerramento em 23/10/2026.
O custo final revisado foi de R$ 19.300.000,00, incluindo R$ 1.600.000,00 de contingência, ficando R$ 700.000,00 abaixo do teto de R$ 20.000.000,00.
A alteração de materiais decorreu da indisponibilidade do kit de palitos: reduziu-se um kit e acrescentou-se um kit de canudos, sem multa e sem alteração do escopo. Os controles documentais registram cumprimento do cronograma, aderência à EAP, funções definidas, gastos dentro do orçamento e aprovação do escopo pelo cliente.</t>
  </si>
  <si>
    <t>• Partes interessadas: aprofundar a análise prévia dos stakeholders e registrar histórico, influência, expectativas e critérios de aceite desde a iniciação.
• Iniciação: manter a consulta antecipada a especialistas, pois ela permitiu identificar restrições relevantes antes da execução.
• Aquisições: iniciar o plano logo após a aprovação do croqui e reservar materiais críticos, reduzindo exposição à concorrência e à falta de estoque.
• Materiais: confirmar disponibilidade e alternativas permitidas antes da compra, com rastreabilidade das mudanças e impactos no orçamento.
• Qualidade e riscos: preservar inspeções por etapa, registro fotográfico, teste de estabilidade e acompanhamento dos riscos estruturais e de fornecimento.</t>
  </si>
  <si>
    <t>nick@example.com</t>
  </si>
  <si>
    <t>(97) 8101-2360</t>
  </si>
  <si>
    <t>Fernanda (Gerente de Projeto)</t>
  </si>
  <si>
    <t>Carlos Eduardo (Auditor/Gerente de qualidade)</t>
  </si>
  <si>
    <t>Criação</t>
  </si>
  <si>
    <t>Data: 23/10/2026</t>
  </si>
  <si>
    <t>Gerente do projeto: Fernanda</t>
  </si>
  <si>
    <t>revisado</t>
  </si>
  <si>
    <t>Concorrente</t>
  </si>
  <si>
    <t>Mercado Terra X e Lumina</t>
  </si>
  <si>
    <t>Acompanhar</t>
  </si>
  <si>
    <t>Nome do Requisitante: João — Suprimentos e Logística</t>
  </si>
  <si>
    <t>Data Submetida: 23/10/2026</t>
  </si>
  <si>
    <t>Nome do Projeto: Vertex Londrina 360</t>
  </si>
  <si>
    <t>Prioridade: Alta</t>
  </si>
  <si>
    <t>Revisar o plano de aquisições devido à indisponibilidade de estoque do Kit com 20 palitos grandes. Reduzir a quantidade de 2 para 1 kit e aumentar o Kit com 20 canudos plásticos de 1 para 2 kits, mantendo os demais materiais e requisitos aprovados.</t>
  </si>
  <si>
    <t>O fornecedor Bueno não dispunha da quantidade originalmente prevista de palitos. A substituição parcial por canudos permitiu preservar a solução estrutural, evitar interrupção da montagem e manter o projeto dentro das regras de aquisição e do limite orçamentário.</t>
  </si>
  <si>
    <t>Escopo: sem alteração do objetivo, da escala 1:350, da área de 1 m², da tripla vocação ou dos critérios de aceitação. Alteração restrita à composição da lista de materiais.</t>
  </si>
  <si>
    <t>Custo: custo do projeto reduzido de R$ 18.400.000,00 para R$ 17.700.000,00. Custo final, com contingência de R$ 1.600.000,00, reduzido de R$ 20.000.000,00 para R$ 19.300.000,00.</t>
  </si>
  <si>
    <t>Prazo: sem alteração da entrega final às 16h30. A aquisição revisada foi concluída às 14h40.</t>
  </si>
  <si>
    <t>Outros / Comentários: não houve aplicação de multa. A rastreabilidade da substituição deve ser mantida no orçamento, plano de aquisições, qualidade e controle de versões.</t>
  </si>
  <si>
    <t>• Orçamento 1 — linha de base aprovada.</t>
  </si>
  <si>
    <t>• Orçamento 2 — orçamento revisado e justificativa da alteração.</t>
  </si>
  <si>
    <t>• Cronograma Inicial — marco de materiais adquiridos às 14h40.</t>
  </si>
  <si>
    <t>• Declaração de Escopo do Projeto — objetivo, entregas, premissas e exclusões.</t>
  </si>
  <si>
    <t>• Plano de Riscos — risco de indisponibilidade do fornecedor e resposta de mitigação.</t>
  </si>
  <si>
    <t>• Qualidade — conformidade dos materiais e inspeção no recebimento.</t>
  </si>
  <si>
    <t>• Matriz de Responsabilidades — atribuições de Suprimentos, Auditoria e Gerência do Projeto.</t>
  </si>
  <si>
    <t>• Lista de materiais originalmente aprovada.</t>
  </si>
  <si>
    <t>• Cotação/posição de estoque do fornecedor Bueno.</t>
  </si>
  <si>
    <t>• Comparativo entre Orçamento 1 e Orçamento 2.</t>
  </si>
  <si>
    <t>• Registro de aquisição e aceite dos materiais substitutos.</t>
  </si>
  <si>
    <t>• Evidência de comunicação ao Gerente do Projeto e ao Sponsor.</t>
  </si>
  <si>
    <t>• Checklist de qualidade no recebimento.</t>
  </si>
  <si>
    <t>• Registro no controle de versões.</t>
  </si>
  <si>
    <t>• Evidências fotográficas dos materiais recebidos.</t>
  </si>
  <si>
    <t>• Solicitação de Mudança nº 1 aprovada.</t>
  </si>
  <si>
    <t>PARECER DO GP: APROVADA. A alteração é necessária por indisponibilidade de estoque, não modifica o escopo nem o prazo final e reduz o custo total em R$ 700.000,00. Os canudos adicionais são compatíveis com a estratégia estrutural e devem ser submetidos à inspeção de qualidade por Carlos Eduardo. Atualizar orçamento, aquisição, cronograma, riscos e controle de versões antes do encerramento.</t>
  </si>
  <si>
    <t>Patrocinador ou Gestor: Nick O´Neil — Aprovado</t>
  </si>
  <si>
    <t>Gerente do Projeto: Fernanda — Aprovado</t>
  </si>
  <si>
    <t>As estapas e escopo foram aprovadas pelo sponsor?</t>
  </si>
  <si>
    <t>Informações Complementares</t>
  </si>
  <si>
    <t>O que nós já fazemos?</t>
  </si>
  <si>
    <t>O que fazemos e precisamos parar de fazer?</t>
  </si>
  <si>
    <t>O que não fazemos e precisamos começar a fazer?</t>
  </si>
  <si>
    <t>O que fazemos e precisamos melhorar a fazer? DMAIX? PDCA?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</si>
</sst>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_([$€]* #,##0.00_);_([$€]* \(#,##0.00\);_([$€]* \-??_);_(@_)"/>
    <numFmt numFmtId="165" formatCode="_(&quot;R$ &quot;* #,##0.00_);_(&quot;R$ &quot;* \(#,##0.00\);_(&quot;R$ &quot;* \-??_);_(@_)"/>
    <numFmt numFmtId="166" formatCode="_(* #,##0.00_);_(* \(#,##0.00\);_(* \-??_);_(@_)"/>
    <numFmt numFmtId="167" formatCode="_-[$$-409]* #,##0.00_ ;_-[$$-409]* \-#,##0.00\ ;_-[$$-409]* &quot;-&quot;??_ ;_-@_ "/>
    <numFmt numFmtId="168" formatCode="&quot;R$&quot;\ #,##0.00"/>
    <numFmt numFmtId="169" formatCode="h:mm;@"/>
  </numFmts>
  <fonts count="79"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20"/>
      <name val="BankGothic Md BT"/>
      <family val="2"/>
    </font>
    <font>
      <b/>
      <sz val="10"/>
      <color indexed="9"/>
      <name val="Verdana"/>
      <family val="2"/>
    </font>
    <font>
      <b/>
      <sz val="10"/>
      <name val="Arial"/>
      <family val="2"/>
    </font>
    <font>
      <b/>
      <sz val="9"/>
      <name val="Verdana"/>
      <family val="2"/>
    </font>
    <font>
      <sz val="9"/>
      <name val="Verdana"/>
      <family val="2"/>
    </font>
    <font>
      <b/>
      <sz val="10"/>
      <name val="Verdana"/>
      <family val="2"/>
    </font>
    <font>
      <b/>
      <sz val="20"/>
      <color indexed="56"/>
      <name val="BankGothic Md BT"/>
      <family val="2"/>
    </font>
    <font>
      <b/>
      <sz val="14"/>
      <name val="BankGothic Md BT"/>
      <family val="2"/>
    </font>
    <font>
      <b/>
      <sz val="12"/>
      <color indexed="10"/>
      <name val="Arial"/>
      <family val="2"/>
    </font>
    <font>
      <b/>
      <sz val="18"/>
      <name val="BankGothic Md BT"/>
      <family val="2"/>
    </font>
    <font>
      <b/>
      <sz val="18"/>
      <color indexed="57"/>
      <name val="BankGothic Md BT"/>
      <family val="2"/>
    </font>
    <font>
      <sz val="8"/>
      <color indexed="8"/>
      <name val="Tahoma"/>
      <family val="2"/>
    </font>
    <font>
      <b/>
      <sz val="10"/>
      <color indexed="10"/>
      <name val="Verdana"/>
      <family val="2"/>
    </font>
    <font>
      <i/>
      <sz val="10"/>
      <name val="Verdana"/>
      <family val="2"/>
    </font>
    <font>
      <i/>
      <sz val="10"/>
      <name val="Arial"/>
      <family val="2"/>
    </font>
    <font>
      <sz val="8"/>
      <name val="Arial"/>
      <family val="2"/>
    </font>
    <font>
      <b/>
      <sz val="20"/>
      <color indexed="57"/>
      <name val="Verdana"/>
      <family val="2"/>
    </font>
    <font>
      <b/>
      <sz val="14"/>
      <color indexed="57"/>
      <name val="Verdana"/>
      <family val="2"/>
    </font>
    <font>
      <b/>
      <sz val="20"/>
      <name val="Verdana"/>
      <family val="2"/>
    </font>
    <font>
      <sz val="9"/>
      <color indexed="9"/>
      <name val="Verdana"/>
      <family val="2"/>
    </font>
    <font>
      <b/>
      <sz val="9"/>
      <color indexed="9"/>
      <name val="Verdana"/>
      <family val="2"/>
    </font>
    <font>
      <b/>
      <sz val="18"/>
      <name val="Verdana"/>
      <family val="2"/>
    </font>
    <font>
      <b/>
      <sz val="18"/>
      <color indexed="57"/>
      <name val="Verdana"/>
      <family val="2"/>
    </font>
    <font>
      <b/>
      <sz val="11"/>
      <color indexed="9"/>
      <name val="Verdana"/>
      <family val="2"/>
    </font>
    <font>
      <b/>
      <sz val="11"/>
      <name val="Verdana"/>
      <family val="2"/>
    </font>
    <font>
      <b/>
      <sz val="20"/>
      <color indexed="56"/>
      <name val="Verdana"/>
      <family val="2"/>
    </font>
    <font>
      <b/>
      <sz val="12"/>
      <color indexed="9"/>
      <name val="Verdana"/>
      <family val="2"/>
    </font>
    <font>
      <sz val="12"/>
      <name val="Verdana"/>
      <family val="2"/>
    </font>
    <font>
      <sz val="8"/>
      <name val="Verdana"/>
      <family val="2"/>
    </font>
    <font>
      <b/>
      <sz val="8"/>
      <color indexed="8"/>
      <name val="Tahoma"/>
      <family val="2"/>
    </font>
    <font>
      <sz val="10"/>
      <name val="Arial"/>
      <family val="2"/>
    </font>
    <font>
      <b/>
      <sz val="8"/>
      <name val="Verdana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6"/>
      <name val="Calibri"/>
      <family val="2"/>
    </font>
    <font>
      <b/>
      <sz val="8"/>
      <color indexed="9"/>
      <name val="Verdana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color indexed="4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b/>
      <sz val="16"/>
      <color rgb="FFFF0000"/>
      <name val="Calibri"/>
      <family val="2"/>
    </font>
    <font>
      <b/>
      <sz val="14"/>
      <color rgb="FF33CCCC"/>
      <name val="Cambria"/>
      <family val="1"/>
    </font>
    <font>
      <b/>
      <sz val="10"/>
      <color rgb="FFFFFFFF"/>
      <name val="Arial"/>
      <family val="2"/>
    </font>
    <font>
      <b/>
      <sz val="11"/>
      <color theme="0"/>
      <name val="Verdana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10"/>
      <name val="Verdana"/>
    </font>
    <font>
      <b/>
      <sz val="10"/>
      <name val="Segoe UI"/>
      <family val="2"/>
    </font>
    <font>
      <sz val="10"/>
      <name val="Segoe UI"/>
      <family val="2"/>
    </font>
    <font>
      <b/>
      <sz val="10"/>
      <name val="Segoe UI"/>
    </font>
    <font>
      <sz val="10"/>
      <name val="Segoe UI"/>
    </font>
    <font>
      <b/>
      <sz val="11"/>
      <color indexed="9"/>
      <name val="Verdana"/>
    </font>
    <font>
      <b/>
      <sz val="9"/>
      <name val="Verdana"/>
    </font>
    <font>
      <sz val="8"/>
      <name val="Verdana"/>
    </font>
    <font>
      <u/>
      <sz val="10"/>
      <color theme="1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4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  <b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1"/>
        <bgColor indexed="9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0"/>
        <bgColor indexed="55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14"/>
        <bgColor indexed="33"/>
      </patternFill>
    </fill>
    <fill>
      <patternFill patternType="solid">
        <fgColor indexed="50"/>
        <bgColor indexed="51"/>
      </patternFill>
    </fill>
    <fill>
      <patternFill patternType="solid">
        <fgColor indexed="27"/>
        <bgColor indexed="41"/>
      </patternFill>
    </fill>
    <fill>
      <patternFill patternType="solid">
        <fgColor indexed="57"/>
        <bgColor indexed="54"/>
      </patternFill>
    </fill>
    <fill>
      <patternFill patternType="solid">
        <fgColor indexed="58"/>
        <bgColor indexed="59"/>
      </patternFill>
    </fill>
    <fill>
      <patternFill patternType="solid">
        <fgColor indexed="63"/>
        <bgColor indexed="59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1"/>
        <bgColor indexed="42"/>
      </patternFill>
    </fill>
    <fill>
      <patternFill patternType="solid">
        <fgColor theme="6" tint="-0.499984740745262"/>
        <bgColor indexed="31"/>
      </patternFill>
    </fill>
    <fill>
      <patternFill patternType="solid">
        <fgColor theme="6" tint="-0.499984740745262"/>
        <bgColor indexed="59"/>
      </patternFill>
    </fill>
    <fill>
      <patternFill patternType="solid">
        <fgColor theme="7" tint="-0.249977111117893"/>
        <bgColor indexed="59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59"/>
      </patternFill>
    </fill>
    <fill>
      <patternFill patternType="solid">
        <fgColor rgb="FFC00000"/>
        <bgColor indexed="59"/>
      </patternFill>
    </fill>
    <fill>
      <patternFill patternType="solid">
        <fgColor rgb="FF0033CC"/>
        <bgColor indexed="9"/>
      </patternFill>
    </fill>
    <fill>
      <patternFill patternType="solid">
        <fgColor rgb="FFFF0000"/>
        <bgColor indexed="9"/>
      </patternFill>
    </fill>
    <fill>
      <patternFill patternType="solid">
        <fgColor rgb="FF4F6128"/>
        <bgColor rgb="FF4F6128"/>
      </patternFill>
    </fill>
    <fill>
      <patternFill patternType="solid">
        <fgColor theme="0"/>
        <bgColor indexed="31"/>
      </patternFill>
    </fill>
    <fill>
      <patternFill patternType="solid">
        <fgColor theme="6" tint="-0.249977111117893"/>
        <bgColor indexed="59"/>
      </patternFill>
    </fill>
    <fill>
      <patternFill patternType="solid">
        <fgColor rgb="FFDBE5F1"/>
        <bgColor indexed="64"/>
      </patternFill>
    </fill>
    <fill>
      <patternFill patternType="solid">
        <fgColor theme="3" tint="0.39997558519241921"/>
        <bgColor indexed="59"/>
      </patternFill>
    </fill>
    <fill>
      <patternFill patternType="solid">
        <fgColor rgb="FF0033CC"/>
        <bgColor indexed="64"/>
      </patternFill>
    </fill>
    <fill>
      <patternFill patternType="solid">
        <fgColor rgb="FF00B050"/>
        <bgColor indexed="9"/>
      </patternFill>
    </fill>
    <fill>
      <patternFill patternType="solid">
        <fgColor rgb="FFF5F5F5"/>
        <bgColor indexed="64"/>
      </patternFill>
    </fill>
    <fill>
      <patternFill patternType="solid">
        <fgColor theme="2"/>
        <bgColor indexed="41"/>
      </patternFill>
    </fill>
  </fills>
  <borders count="18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58"/>
      </top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55"/>
      </left>
      <right style="thick">
        <color indexed="55"/>
      </right>
      <top style="thick">
        <color indexed="55"/>
      </top>
      <bottom style="thick">
        <color indexed="55"/>
      </bottom>
      <diagonal/>
    </border>
    <border>
      <left style="thick">
        <color indexed="55"/>
      </left>
      <right style="thick">
        <color indexed="55"/>
      </right>
      <top style="thin">
        <color indexed="55"/>
      </top>
      <bottom/>
      <diagonal/>
    </border>
    <border>
      <left style="thick">
        <color indexed="55"/>
      </left>
      <right style="thick">
        <color indexed="55"/>
      </right>
      <top style="thick">
        <color indexed="55"/>
      </top>
      <bottom style="thin">
        <color indexed="55"/>
      </bottom>
      <diagonal/>
    </border>
    <border>
      <left style="thick">
        <color indexed="55"/>
      </left>
      <right style="thick">
        <color indexed="55"/>
      </right>
      <top style="thin">
        <color indexed="55"/>
      </top>
      <bottom style="thin">
        <color indexed="55"/>
      </bottom>
      <diagonal/>
    </border>
    <border>
      <left style="thick">
        <color indexed="55"/>
      </left>
      <right style="thick">
        <color indexed="55"/>
      </right>
      <top/>
      <bottom style="thin">
        <color indexed="55"/>
      </bottom>
      <diagonal/>
    </border>
    <border>
      <left style="thick">
        <color indexed="55"/>
      </left>
      <right style="thick">
        <color indexed="55"/>
      </right>
      <top style="thin">
        <color indexed="55"/>
      </top>
      <bottom style="thick">
        <color indexed="55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5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58"/>
      </left>
      <right/>
      <top style="medium">
        <color indexed="58"/>
      </top>
      <bottom/>
      <diagonal/>
    </border>
    <border>
      <left/>
      <right style="medium">
        <color indexed="58"/>
      </right>
      <top style="medium">
        <color indexed="58"/>
      </top>
      <bottom/>
      <diagonal/>
    </border>
    <border>
      <left/>
      <right style="medium">
        <color indexed="58"/>
      </right>
      <top/>
      <bottom/>
      <diagonal/>
    </border>
    <border>
      <left style="medium">
        <color indexed="55"/>
      </left>
      <right style="medium">
        <color indexed="55"/>
      </right>
      <top style="thick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8"/>
      </left>
      <right/>
      <top/>
      <bottom style="medium">
        <color indexed="58"/>
      </bottom>
      <diagonal/>
    </border>
    <border>
      <left/>
      <right style="medium">
        <color indexed="58"/>
      </right>
      <top/>
      <bottom style="medium">
        <color indexed="58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hair">
        <color indexed="55"/>
      </top>
      <bottom style="hair">
        <color indexed="55"/>
      </bottom>
      <diagonal/>
    </border>
    <border>
      <left style="medium">
        <color indexed="55"/>
      </left>
      <right style="medium">
        <color indexed="55"/>
      </right>
      <top style="hair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thin">
        <color indexed="55"/>
      </top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55"/>
      </top>
      <bottom style="thin">
        <color indexed="55"/>
      </bottom>
      <diagonal/>
    </border>
    <border>
      <left/>
      <right/>
      <top/>
      <bottom style="medium">
        <color indexed="58"/>
      </bottom>
      <diagonal/>
    </border>
    <border>
      <left style="medium">
        <color indexed="55"/>
      </left>
      <right style="medium">
        <color indexed="55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/>
      <diagonal/>
    </border>
    <border>
      <left style="medium">
        <color indexed="58"/>
      </left>
      <right/>
      <top/>
      <bottom style="thin">
        <color indexed="8"/>
      </bottom>
      <diagonal/>
    </border>
    <border>
      <left/>
      <right style="medium">
        <color indexed="58"/>
      </right>
      <top/>
      <bottom style="thin">
        <color indexed="8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hair">
        <color indexed="8"/>
      </left>
      <right style="medium">
        <color indexed="55"/>
      </right>
      <top style="medium">
        <color indexed="55"/>
      </top>
      <bottom style="hair">
        <color indexed="8"/>
      </bottom>
      <diagonal/>
    </border>
    <border>
      <left style="medium">
        <color indexed="55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55"/>
      </right>
      <top style="hair">
        <color indexed="8"/>
      </top>
      <bottom style="hair">
        <color indexed="8"/>
      </bottom>
      <diagonal/>
    </border>
    <border>
      <left style="medium">
        <color indexed="55"/>
      </left>
      <right style="hair">
        <color indexed="8"/>
      </right>
      <top style="hair">
        <color indexed="8"/>
      </top>
      <bottom style="medium">
        <color indexed="55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55"/>
      </bottom>
      <diagonal/>
    </border>
    <border>
      <left style="hair">
        <color indexed="8"/>
      </left>
      <right style="medium">
        <color indexed="55"/>
      </right>
      <top style="hair">
        <color indexed="8"/>
      </top>
      <bottom style="medium">
        <color indexed="55"/>
      </bottom>
      <diagonal/>
    </border>
    <border>
      <left style="medium">
        <color indexed="55"/>
      </left>
      <right style="thin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55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/>
      <top style="medium">
        <color indexed="23"/>
      </top>
      <bottom/>
      <diagonal/>
    </border>
    <border>
      <left style="medium">
        <color indexed="55"/>
      </left>
      <right style="medium">
        <color indexed="55"/>
      </right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medium">
        <color indexed="55"/>
      </right>
      <top style="medium">
        <color indexed="23"/>
      </top>
      <bottom style="thin">
        <color indexed="2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55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8"/>
      </left>
      <right style="medium">
        <color indexed="55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55"/>
      </left>
      <right style="hair">
        <color indexed="8"/>
      </right>
      <top style="medium">
        <color indexed="55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55"/>
      </top>
      <bottom style="hair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5"/>
      </left>
      <right style="medium">
        <color indexed="55"/>
      </right>
      <top/>
      <bottom style="thin">
        <color indexed="55"/>
      </bottom>
      <diagonal/>
    </border>
    <border>
      <left/>
      <right style="medium">
        <color indexed="58"/>
      </right>
      <top style="medium">
        <color indexed="58"/>
      </top>
      <bottom style="medium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 style="medium">
        <color indexed="55"/>
      </top>
      <bottom style="thick">
        <color indexed="55"/>
      </bottom>
      <diagonal/>
    </border>
    <border>
      <left/>
      <right/>
      <top style="thick">
        <color indexed="55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medium">
        <color indexed="55"/>
      </left>
      <right/>
      <top style="thick">
        <color indexed="55"/>
      </top>
      <bottom/>
      <diagonal/>
    </border>
    <border>
      <left/>
      <right style="medium">
        <color indexed="55"/>
      </right>
      <top style="thick">
        <color indexed="55"/>
      </top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55"/>
      </left>
      <right style="thin">
        <color indexed="64"/>
      </right>
      <top/>
      <bottom/>
      <diagonal/>
    </border>
    <border>
      <left style="medium">
        <color indexed="55"/>
      </left>
      <right style="thin">
        <color indexed="64"/>
      </right>
      <top/>
      <bottom style="medium">
        <color indexed="55"/>
      </bottom>
      <diagonal/>
    </border>
    <border>
      <left style="medium">
        <color indexed="55"/>
      </left>
      <right style="thin">
        <color indexed="64"/>
      </right>
      <top style="medium">
        <color indexed="55"/>
      </top>
      <bottom/>
      <diagonal/>
    </border>
    <border>
      <left/>
      <right style="hair">
        <color indexed="8"/>
      </right>
      <top style="medium">
        <color indexed="55"/>
      </top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/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23"/>
      </left>
      <right style="medium">
        <color indexed="55"/>
      </right>
      <top style="medium">
        <color indexed="23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hair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55"/>
      </top>
      <bottom style="medium">
        <color indexed="58"/>
      </bottom>
      <diagonal/>
    </border>
    <border>
      <left style="thin">
        <color indexed="64"/>
      </left>
      <right/>
      <top style="medium">
        <color indexed="58"/>
      </top>
      <bottom/>
      <diagonal/>
    </border>
    <border>
      <left style="thin">
        <color indexed="23"/>
      </left>
      <right style="hair">
        <color indexed="8"/>
      </right>
      <top style="medium">
        <color indexed="23"/>
      </top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hair">
        <color theme="1" tint="0.499984740745262"/>
      </right>
      <top style="medium">
        <color indexed="55"/>
      </top>
      <bottom style="hair">
        <color indexed="64"/>
      </bottom>
      <diagonal/>
    </border>
    <border>
      <left style="thin">
        <color indexed="64"/>
      </left>
      <right style="hair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theme="1" tint="0.499984740745262"/>
      </right>
      <top style="hair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medium">
        <color theme="1" tint="0.499984740745262"/>
      </top>
      <bottom style="hair">
        <color indexed="64"/>
      </bottom>
      <diagonal/>
    </border>
    <border>
      <left style="hair">
        <color indexed="8"/>
      </left>
      <right style="medium">
        <color indexed="55"/>
      </right>
      <top style="medium">
        <color theme="1" tint="0.499984740745262"/>
      </top>
      <bottom style="hair">
        <color indexed="8"/>
      </bottom>
      <diagonal/>
    </border>
    <border>
      <left style="thin">
        <color indexed="64"/>
      </left>
      <right style="hair">
        <color theme="1" tint="0.499984740745262"/>
      </right>
      <top style="hair">
        <color indexed="64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indexed="58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hair">
        <color theme="1" tint="0.499984740745262"/>
      </left>
      <right/>
      <top style="hair">
        <color indexed="8"/>
      </top>
      <bottom style="hair">
        <color indexed="8"/>
      </bottom>
      <diagonal/>
    </border>
    <border>
      <left style="hair">
        <color theme="1" tint="0.499984740745262"/>
      </left>
      <right/>
      <top style="hair">
        <color indexed="8"/>
      </top>
      <bottom style="medium">
        <color theme="1" tint="0.499984740745262"/>
      </bottom>
      <diagonal/>
    </border>
    <border>
      <left/>
      <right/>
      <top style="hair">
        <color indexed="8"/>
      </top>
      <bottom style="medium">
        <color theme="1" tint="0.499984740745262"/>
      </bottom>
      <diagonal/>
    </border>
    <border>
      <left/>
      <right style="hair">
        <color indexed="8"/>
      </right>
      <top style="hair">
        <color indexed="8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indexed="8"/>
      </bottom>
      <diagonal/>
    </border>
    <border>
      <left/>
      <right/>
      <top style="medium">
        <color theme="1" tint="0.499984740745262"/>
      </top>
      <bottom style="hair">
        <color indexed="8"/>
      </bottom>
      <diagonal/>
    </border>
    <border>
      <left/>
      <right style="hair">
        <color indexed="8"/>
      </right>
      <top style="medium">
        <color theme="1" tint="0.499984740745262"/>
      </top>
      <bottom style="hair">
        <color indexed="8"/>
      </bottom>
      <diagonal/>
    </border>
    <border>
      <left style="hair">
        <color theme="1" tint="0.499984740745262"/>
      </left>
      <right/>
      <top style="hair">
        <color indexed="64"/>
      </top>
      <bottom style="hair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70">
    <xf numFmtId="0" fontId="0" fillId="0" borderId="0"/>
    <xf numFmtId="0" fontId="49" fillId="3" borderId="0" applyNumberFormat="0" applyBorder="0" applyAlignment="0" applyProtection="0"/>
    <xf numFmtId="0" fontId="49" fillId="4" borderId="0" applyNumberFormat="0" applyBorder="0" applyAlignment="0" applyProtection="0"/>
    <xf numFmtId="0" fontId="49" fillId="6" borderId="0" applyNumberFormat="0" applyBorder="0" applyAlignment="0" applyProtection="0"/>
    <xf numFmtId="0" fontId="49" fillId="7" borderId="0" applyNumberFormat="0" applyBorder="0" applyAlignment="0" applyProtection="0"/>
    <xf numFmtId="0" fontId="49" fillId="8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7" borderId="0" applyNumberFormat="0" applyBorder="0" applyAlignment="0" applyProtection="0"/>
    <xf numFmtId="0" fontId="49" fillId="11" borderId="0" applyNumberFormat="0" applyBorder="0" applyAlignment="0" applyProtection="0"/>
    <xf numFmtId="0" fontId="4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6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5" fillId="10" borderId="1" applyNumberFormat="0" applyAlignment="0" applyProtection="0"/>
    <xf numFmtId="164" fontId="42" fillId="0" borderId="0" applyFill="0" applyBorder="0" applyAlignment="0" applyProtection="0"/>
    <xf numFmtId="0" fontId="6" fillId="4" borderId="0" applyNumberFormat="0" applyBorder="0" applyAlignment="0" applyProtection="0"/>
    <xf numFmtId="165" fontId="42" fillId="0" borderId="0" applyFill="0" applyBorder="0" applyAlignment="0" applyProtection="0"/>
    <xf numFmtId="165" fontId="42" fillId="0" borderId="0" applyFill="0" applyBorder="0" applyAlignment="0" applyProtection="0"/>
    <xf numFmtId="165" fontId="42" fillId="0" borderId="0" applyFill="0" applyBorder="0" applyAlignment="0" applyProtection="0"/>
    <xf numFmtId="0" fontId="7" fillId="26" borderId="0" applyNumberFormat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9" fillId="0" borderId="0"/>
    <xf numFmtId="0" fontId="49" fillId="0" borderId="0"/>
    <xf numFmtId="0" fontId="42" fillId="0" borderId="0"/>
    <xf numFmtId="0" fontId="42" fillId="27" borderId="3" applyNumberFormat="0" applyFont="0" applyAlignment="0" applyProtection="0"/>
    <xf numFmtId="9" fontId="42" fillId="0" borderId="0" applyFill="0" applyBorder="0" applyAlignment="0" applyProtection="0"/>
    <xf numFmtId="9" fontId="42" fillId="0" borderId="0" applyFill="0" applyBorder="0" applyAlignment="0" applyProtection="0"/>
    <xf numFmtId="9" fontId="42" fillId="0" borderId="0" applyFill="0" applyBorder="0" applyAlignment="0" applyProtection="0"/>
    <xf numFmtId="9" fontId="42" fillId="0" borderId="0" applyFill="0" applyBorder="0" applyAlignment="0" applyProtection="0"/>
    <xf numFmtId="0" fontId="8" fillId="20" borderId="4" applyNumberFormat="0" applyAlignment="0" applyProtection="0"/>
    <xf numFmtId="4" fontId="59" fillId="28" borderId="5">
      <alignment vertical="center"/>
    </xf>
    <xf numFmtId="4" fontId="60" fillId="28" borderId="5">
      <alignment horizontal="left" vertical="center" indent="1"/>
    </xf>
    <xf numFmtId="0" fontId="42" fillId="29" borderId="0"/>
    <xf numFmtId="0" fontId="14" fillId="30" borderId="5" applyNumberFormat="0" applyProtection="0">
      <alignment horizontal="right" vertical="center"/>
    </xf>
    <xf numFmtId="0" fontId="61" fillId="31" borderId="5" applyNumberFormat="0" applyProtection="0">
      <alignment horizontal="right" vertical="center"/>
    </xf>
    <xf numFmtId="4" fontId="60" fillId="32" borderId="5">
      <alignment horizontal="right" vertical="center"/>
    </xf>
    <xf numFmtId="166" fontId="42" fillId="0" borderId="0" applyFill="0" applyBorder="0" applyAlignment="0" applyProtection="0"/>
    <xf numFmtId="166" fontId="42" fillId="0" borderId="0" applyFill="0" applyBorder="0" applyAlignment="0" applyProtection="0"/>
    <xf numFmtId="166" fontId="42" fillId="0" borderId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7" applyNumberFormat="0" applyFill="0" applyAlignment="0" applyProtection="0"/>
    <xf numFmtId="0" fontId="53" fillId="0" borderId="8" applyNumberFormat="0" applyFill="0" applyAlignment="0" applyProtection="0"/>
    <xf numFmtId="0" fontId="5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54" fillId="0" borderId="10" applyNumberFormat="0" applyFill="0" applyAlignment="0" applyProtection="0"/>
    <xf numFmtId="0" fontId="78" fillId="0" borderId="0" applyNumberFormat="0" applyFill="0" applyBorder="0" applyAlignment="0" applyProtection="0"/>
  </cellStyleXfs>
  <cellXfs count="556">
    <xf numFmtId="0" fontId="0" fillId="0" borderId="0" xfId="0"/>
    <xf numFmtId="0" fontId="0" fillId="2" borderId="0" xfId="0" applyFill="1"/>
    <xf numFmtId="0" fontId="10" fillId="5" borderId="11" xfId="0" applyFont="1" applyFill="1" applyBorder="1"/>
    <xf numFmtId="0" fontId="10" fillId="5" borderId="0" xfId="0" applyFont="1" applyFill="1"/>
    <xf numFmtId="0" fontId="13" fillId="33" borderId="12" xfId="0" applyFont="1" applyFill="1" applyBorder="1" applyAlignment="1">
      <alignment vertical="center" wrapText="1"/>
    </xf>
    <xf numFmtId="0" fontId="13" fillId="34" borderId="13" xfId="0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6" fillId="9" borderId="16" xfId="0" applyFont="1" applyFill="1" applyBorder="1" applyAlignment="1">
      <alignment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5" fillId="16" borderId="16" xfId="0" applyFont="1" applyFill="1" applyBorder="1" applyAlignment="1">
      <alignment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5" fillId="16" borderId="17" xfId="0" applyFont="1" applyFill="1" applyBorder="1" applyAlignment="1">
      <alignment vertical="center" wrapText="1"/>
    </xf>
    <xf numFmtId="0" fontId="16" fillId="9" borderId="14" xfId="0" applyFont="1" applyFill="1" applyBorder="1" applyAlignment="1">
      <alignment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7" fillId="9" borderId="19" xfId="0" applyFont="1" applyFill="1" applyBorder="1"/>
    <xf numFmtId="0" fontId="0" fillId="0" borderId="0" xfId="0" applyAlignment="1">
      <alignment horizontal="center"/>
    </xf>
    <xf numFmtId="0" fontId="18" fillId="5" borderId="20" xfId="0" applyFont="1" applyFill="1" applyBorder="1" applyAlignment="1">
      <alignment horizontal="right"/>
    </xf>
    <xf numFmtId="0" fontId="18" fillId="5" borderId="21" xfId="0" applyFont="1" applyFill="1" applyBorder="1" applyAlignment="1">
      <alignment horizontal="right"/>
    </xf>
    <xf numFmtId="0" fontId="19" fillId="5" borderId="21" xfId="0" applyFont="1" applyFill="1" applyBorder="1"/>
    <xf numFmtId="0" fontId="21" fillId="5" borderId="22" xfId="0" applyFont="1" applyFill="1" applyBorder="1"/>
    <xf numFmtId="0" fontId="18" fillId="5" borderId="23" xfId="0" applyFont="1" applyFill="1" applyBorder="1" applyAlignment="1">
      <alignment horizontal="right"/>
    </xf>
    <xf numFmtId="0" fontId="18" fillId="5" borderId="0" xfId="0" applyFont="1" applyFill="1" applyAlignment="1">
      <alignment horizontal="right"/>
    </xf>
    <xf numFmtId="0" fontId="22" fillId="5" borderId="0" xfId="0" applyFont="1" applyFill="1"/>
    <xf numFmtId="0" fontId="22" fillId="5" borderId="24" xfId="0" applyFont="1" applyFill="1" applyBorder="1"/>
    <xf numFmtId="0" fontId="0" fillId="5" borderId="24" xfId="0" applyFill="1" applyBorder="1" applyAlignment="1">
      <alignment horizontal="right"/>
    </xf>
    <xf numFmtId="0" fontId="0" fillId="5" borderId="23" xfId="0" applyFill="1" applyBorder="1"/>
    <xf numFmtId="0" fontId="0" fillId="5" borderId="24" xfId="0" applyFill="1" applyBorder="1"/>
    <xf numFmtId="0" fontId="10" fillId="5" borderId="0" xfId="0" applyFont="1" applyFill="1" applyAlignment="1">
      <alignment horizontal="center"/>
    </xf>
    <xf numFmtId="0" fontId="10" fillId="0" borderId="25" xfId="0" applyFont="1" applyBorder="1" applyAlignment="1">
      <alignment horizontal="center"/>
    </xf>
    <xf numFmtId="0" fontId="17" fillId="9" borderId="26" xfId="0" applyFont="1" applyFill="1" applyBorder="1"/>
    <xf numFmtId="0" fontId="10" fillId="5" borderId="27" xfId="0" applyFont="1" applyFill="1" applyBorder="1"/>
    <xf numFmtId="0" fontId="17" fillId="9" borderId="28" xfId="0" applyFont="1" applyFill="1" applyBorder="1"/>
    <xf numFmtId="14" fontId="10" fillId="9" borderId="26" xfId="0" applyNumberFormat="1" applyFont="1" applyFill="1" applyBorder="1"/>
    <xf numFmtId="0" fontId="0" fillId="5" borderId="0" xfId="0" applyFill="1"/>
    <xf numFmtId="0" fontId="17" fillId="5" borderId="28" xfId="0" applyFont="1" applyFill="1" applyBorder="1"/>
    <xf numFmtId="14" fontId="10" fillId="5" borderId="29" xfId="0" applyNumberFormat="1" applyFont="1" applyFill="1" applyBorder="1"/>
    <xf numFmtId="0" fontId="17" fillId="5" borderId="0" xfId="0" applyFont="1" applyFill="1" applyAlignment="1">
      <alignment horizontal="center"/>
    </xf>
    <xf numFmtId="14" fontId="10" fillId="5" borderId="0" xfId="0" applyNumberFormat="1" applyFont="1" applyFill="1" applyAlignment="1">
      <alignment horizontal="center"/>
    </xf>
    <xf numFmtId="0" fontId="17" fillId="5" borderId="0" xfId="0" applyFont="1" applyFill="1"/>
    <xf numFmtId="0" fontId="10" fillId="5" borderId="30" xfId="0" applyFont="1" applyFill="1" applyBorder="1"/>
    <xf numFmtId="0" fontId="10" fillId="0" borderId="0" xfId="0" applyFont="1"/>
    <xf numFmtId="0" fontId="0" fillId="5" borderId="31" xfId="0" applyFill="1" applyBorder="1"/>
    <xf numFmtId="0" fontId="0" fillId="5" borderId="32" xfId="0" applyFill="1" applyBorder="1"/>
    <xf numFmtId="0" fontId="10" fillId="2" borderId="0" xfId="0" applyFont="1" applyFill="1"/>
    <xf numFmtId="0" fontId="10" fillId="5" borderId="33" xfId="0" applyFont="1" applyFill="1" applyBorder="1"/>
    <xf numFmtId="0" fontId="28" fillId="5" borderId="11" xfId="0" applyFont="1" applyFill="1" applyBorder="1"/>
    <xf numFmtId="0" fontId="11" fillId="5" borderId="11" xfId="0" applyFont="1" applyFill="1" applyBorder="1" applyAlignment="1">
      <alignment horizontal="right" vertical="center"/>
    </xf>
    <xf numFmtId="0" fontId="10" fillId="5" borderId="34" xfId="0" applyFont="1" applyFill="1" applyBorder="1"/>
    <xf numFmtId="0" fontId="30" fillId="5" borderId="35" xfId="0" applyFont="1" applyFill="1" applyBorder="1" applyAlignment="1">
      <alignment vertical="center"/>
    </xf>
    <xf numFmtId="0" fontId="30" fillId="5" borderId="0" xfId="0" applyFont="1" applyFill="1" applyAlignment="1">
      <alignment vertical="center"/>
    </xf>
    <xf numFmtId="0" fontId="10" fillId="5" borderId="35" xfId="0" applyFont="1" applyFill="1" applyBorder="1"/>
    <xf numFmtId="0" fontId="16" fillId="9" borderId="36" xfId="0" applyFont="1" applyFill="1" applyBorder="1" applyAlignment="1">
      <alignment horizontal="center" vertical="top" wrapText="1"/>
    </xf>
    <xf numFmtId="0" fontId="31" fillId="9" borderId="37" xfId="0" applyFont="1" applyFill="1" applyBorder="1" applyAlignment="1">
      <alignment horizontal="center" vertical="top" wrapText="1"/>
    </xf>
    <xf numFmtId="40" fontId="16" fillId="9" borderId="37" xfId="0" applyNumberFormat="1" applyFont="1" applyFill="1" applyBorder="1" applyAlignment="1">
      <alignment horizontal="right" vertical="top" wrapText="1"/>
    </xf>
    <xf numFmtId="0" fontId="16" fillId="9" borderId="37" xfId="0" applyFont="1" applyFill="1" applyBorder="1" applyAlignment="1">
      <alignment horizontal="center" vertical="top" wrapText="1"/>
    </xf>
    <xf numFmtId="0" fontId="31" fillId="9" borderId="38" xfId="0" applyFont="1" applyFill="1" applyBorder="1" applyAlignment="1">
      <alignment horizontal="center" vertical="top" wrapText="1"/>
    </xf>
    <xf numFmtId="40" fontId="16" fillId="9" borderId="38" xfId="0" applyNumberFormat="1" applyFont="1" applyFill="1" applyBorder="1" applyAlignment="1">
      <alignment horizontal="right" vertical="top" wrapText="1"/>
    </xf>
    <xf numFmtId="0" fontId="16" fillId="9" borderId="38" xfId="0" applyFont="1" applyFill="1" applyBorder="1" applyAlignment="1">
      <alignment horizontal="center" vertical="top" wrapText="1"/>
    </xf>
    <xf numFmtId="40" fontId="15" fillId="9" borderId="39" xfId="0" applyNumberFormat="1" applyFont="1" applyFill="1" applyBorder="1" applyAlignment="1">
      <alignment horizontal="right" vertical="center" wrapText="1"/>
    </xf>
    <xf numFmtId="40" fontId="15" fillId="9" borderId="40" xfId="0" applyNumberFormat="1" applyFont="1" applyFill="1" applyBorder="1" applyAlignment="1">
      <alignment horizontal="right" vertical="center" wrapText="1"/>
    </xf>
    <xf numFmtId="40" fontId="15" fillId="9" borderId="38" xfId="0" applyNumberFormat="1" applyFont="1" applyFill="1" applyBorder="1" applyAlignment="1">
      <alignment horizontal="right" vertical="center" wrapText="1"/>
    </xf>
    <xf numFmtId="0" fontId="10" fillId="5" borderId="41" xfId="0" applyFont="1" applyFill="1" applyBorder="1"/>
    <xf numFmtId="0" fontId="10" fillId="5" borderId="42" xfId="0" applyFont="1" applyFill="1" applyBorder="1" applyAlignment="1">
      <alignment horizontal="center"/>
    </xf>
    <xf numFmtId="0" fontId="29" fillId="5" borderId="11" xfId="0" applyFont="1" applyFill="1" applyBorder="1"/>
    <xf numFmtId="0" fontId="11" fillId="5" borderId="11" xfId="0" applyFont="1" applyFill="1" applyBorder="1" applyAlignment="1">
      <alignment vertical="center"/>
    </xf>
    <xf numFmtId="0" fontId="15" fillId="9" borderId="39" xfId="0" applyFont="1" applyFill="1" applyBorder="1" applyAlignment="1">
      <alignment horizontal="center" vertical="top" wrapText="1"/>
    </xf>
    <xf numFmtId="0" fontId="32" fillId="9" borderId="37" xfId="0" applyFont="1" applyFill="1" applyBorder="1" applyAlignment="1">
      <alignment horizontal="center" vertical="top" wrapText="1"/>
    </xf>
    <xf numFmtId="0" fontId="15" fillId="9" borderId="37" xfId="0" applyFont="1" applyFill="1" applyBorder="1" applyAlignment="1">
      <alignment horizontal="center" vertical="top" wrapText="1"/>
    </xf>
    <xf numFmtId="0" fontId="32" fillId="9" borderId="38" xfId="0" applyFont="1" applyFill="1" applyBorder="1" applyAlignment="1">
      <alignment horizontal="center" vertical="top" wrapText="1"/>
    </xf>
    <xf numFmtId="0" fontId="15" fillId="9" borderId="38" xfId="0" applyFont="1" applyFill="1" applyBorder="1" applyAlignment="1">
      <alignment horizontal="center" vertical="top" wrapText="1"/>
    </xf>
    <xf numFmtId="0" fontId="33" fillId="5" borderId="34" xfId="0" applyFont="1" applyFill="1" applyBorder="1"/>
    <xf numFmtId="0" fontId="10" fillId="35" borderId="0" xfId="0" applyFont="1" applyFill="1"/>
    <xf numFmtId="0" fontId="34" fillId="5" borderId="35" xfId="0" applyFont="1" applyFill="1" applyBorder="1"/>
    <xf numFmtId="0" fontId="35" fillId="34" borderId="43" xfId="0" applyFont="1" applyFill="1" applyBorder="1" applyAlignment="1">
      <alignment horizontal="center" vertical="center" wrapText="1"/>
    </xf>
    <xf numFmtId="0" fontId="10" fillId="9" borderId="39" xfId="0" applyFont="1" applyFill="1" applyBorder="1" applyAlignment="1">
      <alignment horizontal="left" vertical="center" wrapText="1"/>
    </xf>
    <xf numFmtId="0" fontId="10" fillId="9" borderId="39" xfId="0" applyFont="1" applyFill="1" applyBorder="1" applyAlignment="1">
      <alignment horizontal="center"/>
    </xf>
    <xf numFmtId="0" fontId="10" fillId="9" borderId="37" xfId="0" applyFont="1" applyFill="1" applyBorder="1" applyAlignment="1">
      <alignment horizontal="left" vertical="center" wrapText="1"/>
    </xf>
    <xf numFmtId="0" fontId="10" fillId="9" borderId="37" xfId="0" applyFont="1" applyFill="1" applyBorder="1" applyAlignment="1">
      <alignment horizontal="center"/>
    </xf>
    <xf numFmtId="0" fontId="17" fillId="9" borderId="44" xfId="0" applyFont="1" applyFill="1" applyBorder="1" applyAlignment="1">
      <alignment horizontal="center" vertical="center" wrapText="1"/>
    </xf>
    <xf numFmtId="0" fontId="17" fillId="9" borderId="45" xfId="0" applyFont="1" applyFill="1" applyBorder="1" applyAlignment="1">
      <alignment horizontal="center" vertical="center" wrapText="1"/>
    </xf>
    <xf numFmtId="0" fontId="10" fillId="5" borderId="46" xfId="0" applyFont="1" applyFill="1" applyBorder="1"/>
    <xf numFmtId="0" fontId="10" fillId="9" borderId="38" xfId="0" applyFont="1" applyFill="1" applyBorder="1" applyAlignment="1">
      <alignment horizontal="left" vertical="center" wrapText="1"/>
    </xf>
    <xf numFmtId="0" fontId="10" fillId="9" borderId="38" xfId="0" applyFont="1" applyFill="1" applyBorder="1" applyAlignment="1">
      <alignment horizontal="center"/>
    </xf>
    <xf numFmtId="0" fontId="15" fillId="16" borderId="43" xfId="0" applyFont="1" applyFill="1" applyBorder="1" applyAlignment="1">
      <alignment horizontal="center" vertical="center" wrapText="1"/>
    </xf>
    <xf numFmtId="0" fontId="15" fillId="16" borderId="47" xfId="0" applyFont="1" applyFill="1" applyBorder="1" applyAlignment="1">
      <alignment horizontal="center" vertical="center" wrapText="1"/>
    </xf>
    <xf numFmtId="0" fontId="15" fillId="16" borderId="43" xfId="0" applyFont="1" applyFill="1" applyBorder="1" applyAlignment="1">
      <alignment vertical="center" wrapText="1"/>
    </xf>
    <xf numFmtId="0" fontId="10" fillId="5" borderId="48" xfId="0" applyFont="1" applyFill="1" applyBorder="1"/>
    <xf numFmtId="0" fontId="34" fillId="5" borderId="0" xfId="0" applyFont="1" applyFill="1"/>
    <xf numFmtId="0" fontId="10" fillId="9" borderId="49" xfId="0" applyFont="1" applyFill="1" applyBorder="1"/>
    <xf numFmtId="0" fontId="10" fillId="5" borderId="50" xfId="0" applyFont="1" applyFill="1" applyBorder="1"/>
    <xf numFmtId="0" fontId="10" fillId="5" borderId="42" xfId="0" applyFont="1" applyFill="1" applyBorder="1"/>
    <xf numFmtId="0" fontId="10" fillId="5" borderId="34" xfId="0" applyFont="1" applyFill="1" applyBorder="1" applyAlignment="1">
      <alignment horizontal="center"/>
    </xf>
    <xf numFmtId="0" fontId="10" fillId="5" borderId="35" xfId="0" applyFont="1" applyFill="1" applyBorder="1" applyAlignment="1">
      <alignment horizontal="center"/>
    </xf>
    <xf numFmtId="0" fontId="37" fillId="5" borderId="0" xfId="0" applyFont="1" applyFill="1"/>
    <xf numFmtId="0" fontId="39" fillId="2" borderId="0" xfId="0" applyFont="1" applyFill="1"/>
    <xf numFmtId="0" fontId="17" fillId="16" borderId="51" xfId="0" applyFont="1" applyFill="1" applyBorder="1" applyAlignment="1">
      <alignment horizontal="center" vertical="center" wrapText="1" shrinkToFit="1"/>
    </xf>
    <xf numFmtId="0" fontId="10" fillId="2" borderId="0" xfId="0" applyFont="1" applyFill="1" applyAlignment="1">
      <alignment horizontal="center" vertical="center" wrapText="1" shrinkToFit="1"/>
    </xf>
    <xf numFmtId="0" fontId="16" fillId="9" borderId="51" xfId="0" applyFont="1" applyFill="1" applyBorder="1" applyAlignment="1">
      <alignment horizontal="center" vertical="center" wrapText="1" shrinkToFit="1"/>
    </xf>
    <xf numFmtId="14" fontId="16" fillId="9" borderId="51" xfId="0" applyNumberFormat="1" applyFont="1" applyFill="1" applyBorder="1" applyAlignment="1">
      <alignment horizontal="center" vertical="center" wrapText="1" shrinkToFit="1"/>
    </xf>
    <xf numFmtId="0" fontId="40" fillId="2" borderId="0" xfId="0" applyFont="1" applyFill="1" applyAlignment="1">
      <alignment vertical="center"/>
    </xf>
    <xf numFmtId="0" fontId="35" fillId="34" borderId="52" xfId="0" applyFont="1" applyFill="1" applyBorder="1" applyAlignment="1">
      <alignment horizontal="center" vertical="center" wrapText="1"/>
    </xf>
    <xf numFmtId="0" fontId="17" fillId="2" borderId="0" xfId="0" applyFont="1" applyFill="1"/>
    <xf numFmtId="0" fontId="10" fillId="0" borderId="0" xfId="0" applyFont="1" applyAlignment="1">
      <alignment horizontal="center"/>
    </xf>
    <xf numFmtId="0" fontId="10" fillId="9" borderId="19" xfId="0" applyFont="1" applyFill="1" applyBorder="1" applyAlignment="1">
      <alignment horizontal="center" vertical="top" wrapText="1"/>
    </xf>
    <xf numFmtId="0" fontId="10" fillId="5" borderId="53" xfId="0" applyFont="1" applyFill="1" applyBorder="1"/>
    <xf numFmtId="0" fontId="10" fillId="5" borderId="54" xfId="0" applyFont="1" applyFill="1" applyBorder="1"/>
    <xf numFmtId="0" fontId="10" fillId="0" borderId="30" xfId="0" applyFont="1" applyBorder="1"/>
    <xf numFmtId="0" fontId="10" fillId="0" borderId="35" xfId="0" applyFont="1" applyBorder="1"/>
    <xf numFmtId="0" fontId="37" fillId="5" borderId="33" xfId="0" applyFont="1" applyFill="1" applyBorder="1" applyAlignment="1">
      <alignment horizontal="right"/>
    </xf>
    <xf numFmtId="0" fontId="37" fillId="5" borderId="11" xfId="0" applyFont="1" applyFill="1" applyBorder="1" applyAlignment="1">
      <alignment horizontal="right"/>
    </xf>
    <xf numFmtId="0" fontId="37" fillId="5" borderId="30" xfId="0" applyFont="1" applyFill="1" applyBorder="1" applyAlignment="1">
      <alignment horizontal="right"/>
    </xf>
    <xf numFmtId="0" fontId="37" fillId="5" borderId="0" xfId="0" applyFont="1" applyFill="1" applyAlignment="1">
      <alignment horizontal="right"/>
    </xf>
    <xf numFmtId="0" fontId="10" fillId="5" borderId="0" xfId="0" applyFont="1" applyFill="1" applyAlignment="1">
      <alignment horizontal="right"/>
    </xf>
    <xf numFmtId="0" fontId="10" fillId="5" borderId="35" xfId="0" applyFont="1" applyFill="1" applyBorder="1" applyAlignment="1">
      <alignment horizontal="right"/>
    </xf>
    <xf numFmtId="0" fontId="10" fillId="9" borderId="26" xfId="0" applyFont="1" applyFill="1" applyBorder="1"/>
    <xf numFmtId="0" fontId="10" fillId="9" borderId="28" xfId="0" applyFont="1" applyFill="1" applyBorder="1"/>
    <xf numFmtId="0" fontId="17" fillId="16" borderId="19" xfId="0" applyFont="1" applyFill="1" applyBorder="1" applyAlignment="1">
      <alignment horizontal="center" vertical="top" wrapText="1"/>
    </xf>
    <xf numFmtId="0" fontId="10" fillId="9" borderId="19" xfId="0" applyFont="1" applyFill="1" applyBorder="1" applyAlignment="1">
      <alignment vertical="top" wrapText="1"/>
    </xf>
    <xf numFmtId="0" fontId="34" fillId="5" borderId="33" xfId="0" applyFont="1" applyFill="1" applyBorder="1"/>
    <xf numFmtId="0" fontId="34" fillId="5" borderId="11" xfId="0" applyFont="1" applyFill="1" applyBorder="1"/>
    <xf numFmtId="0" fontId="34" fillId="5" borderId="34" xfId="0" applyFont="1" applyFill="1" applyBorder="1"/>
    <xf numFmtId="0" fontId="34" fillId="5" borderId="30" xfId="0" applyFont="1" applyFill="1" applyBorder="1"/>
    <xf numFmtId="0" fontId="35" fillId="34" borderId="55" xfId="0" applyFont="1" applyFill="1" applyBorder="1" applyAlignment="1">
      <alignment horizontal="center" vertical="center" wrapText="1"/>
    </xf>
    <xf numFmtId="0" fontId="10" fillId="9" borderId="56" xfId="0" applyFont="1" applyFill="1" applyBorder="1" applyAlignment="1">
      <alignment vertical="top" wrapText="1"/>
    </xf>
    <xf numFmtId="0" fontId="10" fillId="9" borderId="57" xfId="0" applyFont="1" applyFill="1" applyBorder="1" applyAlignment="1">
      <alignment vertical="top" wrapText="1"/>
    </xf>
    <xf numFmtId="0" fontId="10" fillId="9" borderId="58" xfId="0" applyFont="1" applyFill="1" applyBorder="1" applyAlignment="1">
      <alignment vertical="top" wrapText="1"/>
    </xf>
    <xf numFmtId="0" fontId="10" fillId="9" borderId="59" xfId="0" applyFont="1" applyFill="1" applyBorder="1" applyAlignment="1">
      <alignment vertical="top" wrapText="1"/>
    </xf>
    <xf numFmtId="0" fontId="10" fillId="9" borderId="60" xfId="0" applyFont="1" applyFill="1" applyBorder="1" applyAlignment="1">
      <alignment vertical="top" wrapText="1"/>
    </xf>
    <xf numFmtId="0" fontId="10" fillId="9" borderId="61" xfId="0" applyFont="1" applyFill="1" applyBorder="1" applyAlignment="1">
      <alignment vertical="top" wrapText="1"/>
    </xf>
    <xf numFmtId="0" fontId="34" fillId="5" borderId="41" xfId="0" applyFont="1" applyFill="1" applyBorder="1"/>
    <xf numFmtId="0" fontId="34" fillId="5" borderId="50" xfId="0" applyFont="1" applyFill="1" applyBorder="1"/>
    <xf numFmtId="0" fontId="34" fillId="5" borderId="42" xfId="0" applyFont="1" applyFill="1" applyBorder="1"/>
    <xf numFmtId="0" fontId="10" fillId="9" borderId="49" xfId="0" applyFont="1" applyFill="1" applyBorder="1" applyAlignment="1">
      <alignment horizontal="center"/>
    </xf>
    <xf numFmtId="0" fontId="13" fillId="34" borderId="62" xfId="0" applyFont="1" applyFill="1" applyBorder="1" applyAlignment="1">
      <alignment horizontal="left" vertical="center" wrapText="1"/>
    </xf>
    <xf numFmtId="0" fontId="35" fillId="34" borderId="63" xfId="0" applyFont="1" applyFill="1" applyBorder="1" applyAlignment="1">
      <alignment horizontal="center" vertical="center" wrapText="1"/>
    </xf>
    <xf numFmtId="0" fontId="35" fillId="34" borderId="64" xfId="0" applyFont="1" applyFill="1" applyBorder="1" applyAlignment="1">
      <alignment horizontal="center" vertical="center" wrapText="1"/>
    </xf>
    <xf numFmtId="0" fontId="10" fillId="40" borderId="0" xfId="0" applyFont="1" applyFill="1"/>
    <xf numFmtId="0" fontId="37" fillId="40" borderId="0" xfId="0" applyFont="1" applyFill="1" applyAlignment="1">
      <alignment horizontal="center"/>
    </xf>
    <xf numFmtId="14" fontId="10" fillId="9" borderId="51" xfId="0" applyNumberFormat="1" applyFont="1" applyFill="1" applyBorder="1" applyAlignment="1">
      <alignment horizontal="center" vertical="center" wrapText="1" shrinkToFit="1"/>
    </xf>
    <xf numFmtId="0" fontId="10" fillId="9" borderId="51" xfId="0" applyFont="1" applyFill="1" applyBorder="1" applyAlignment="1">
      <alignment horizontal="center" vertical="center" wrapText="1" shrinkToFit="1"/>
    </xf>
    <xf numFmtId="0" fontId="38" fillId="34" borderId="65" xfId="0" applyFont="1" applyFill="1" applyBorder="1" applyAlignment="1">
      <alignment horizontal="left" vertical="center" wrapText="1" indent="45" shrinkToFit="1"/>
    </xf>
    <xf numFmtId="0" fontId="13" fillId="34" borderId="66" xfId="0" applyFont="1" applyFill="1" applyBorder="1" applyAlignment="1">
      <alignment horizontal="left" vertical="center" wrapText="1" shrinkToFit="1"/>
    </xf>
    <xf numFmtId="14" fontId="40" fillId="9" borderId="51" xfId="0" applyNumberFormat="1" applyFont="1" applyFill="1" applyBorder="1" applyAlignment="1">
      <alignment horizontal="center" vertical="center" wrapText="1"/>
    </xf>
    <xf numFmtId="0" fontId="43" fillId="9" borderId="39" xfId="0" applyFont="1" applyFill="1" applyBorder="1" applyAlignment="1">
      <alignment horizontal="center" vertical="top" wrapText="1"/>
    </xf>
    <xf numFmtId="0" fontId="36" fillId="16" borderId="55" xfId="0" applyFont="1" applyFill="1" applyBorder="1" applyAlignment="1">
      <alignment vertical="center" wrapText="1"/>
    </xf>
    <xf numFmtId="0" fontId="36" fillId="16" borderId="40" xfId="0" applyFont="1" applyFill="1" applyBorder="1" applyAlignment="1">
      <alignment vertical="center" wrapText="1"/>
    </xf>
    <xf numFmtId="0" fontId="36" fillId="16" borderId="67" xfId="0" applyFont="1" applyFill="1" applyBorder="1" applyAlignment="1">
      <alignment vertical="center" wrapText="1"/>
    </xf>
    <xf numFmtId="0" fontId="45" fillId="0" borderId="68" xfId="0" applyFont="1" applyBorder="1" applyAlignment="1">
      <alignment horizontal="justify" vertical="center"/>
    </xf>
    <xf numFmtId="0" fontId="46" fillId="0" borderId="68" xfId="0" applyFont="1" applyBorder="1" applyAlignment="1">
      <alignment horizontal="justify" vertical="center"/>
    </xf>
    <xf numFmtId="0" fontId="64" fillId="0" borderId="69" xfId="0" applyFont="1" applyBorder="1" applyAlignment="1">
      <alignment horizontal="left" vertical="center"/>
    </xf>
    <xf numFmtId="0" fontId="47" fillId="0" borderId="69" xfId="0" applyFont="1" applyBorder="1" applyAlignment="1">
      <alignment horizontal="justify" vertical="center"/>
    </xf>
    <xf numFmtId="0" fontId="47" fillId="0" borderId="69" xfId="0" applyFont="1" applyBorder="1" applyAlignment="1">
      <alignment horizontal="left" vertical="center"/>
    </xf>
    <xf numFmtId="0" fontId="27" fillId="0" borderId="0" xfId="0" applyFont="1"/>
    <xf numFmtId="0" fontId="40" fillId="0" borderId="0" xfId="0" applyFont="1"/>
    <xf numFmtId="0" fontId="35" fillId="41" borderId="70" xfId="0" applyFont="1" applyFill="1" applyBorder="1" applyAlignment="1">
      <alignment horizontal="center" vertical="center" wrapText="1"/>
    </xf>
    <xf numFmtId="0" fontId="48" fillId="42" borderId="48" xfId="0" applyFont="1" applyFill="1" applyBorder="1" applyAlignment="1">
      <alignment horizontal="center" vertical="center" wrapText="1"/>
    </xf>
    <xf numFmtId="0" fontId="32" fillId="42" borderId="48" xfId="0" applyFont="1" applyFill="1" applyBorder="1" applyAlignment="1">
      <alignment horizontal="center" vertical="center" wrapText="1"/>
    </xf>
    <xf numFmtId="0" fontId="48" fillId="34" borderId="43" xfId="0" applyFont="1" applyFill="1" applyBorder="1" applyAlignment="1">
      <alignment horizontal="center" vertical="center" wrapText="1"/>
    </xf>
    <xf numFmtId="0" fontId="40" fillId="9" borderId="39" xfId="0" applyFont="1" applyFill="1" applyBorder="1" applyAlignment="1">
      <alignment horizontal="center" vertical="center" wrapText="1"/>
    </xf>
    <xf numFmtId="0" fontId="16" fillId="9" borderId="39" xfId="0" applyFont="1" applyFill="1" applyBorder="1" applyAlignment="1">
      <alignment horizontal="center" vertical="center" wrapText="1"/>
    </xf>
    <xf numFmtId="0" fontId="38" fillId="34" borderId="71" xfId="0" applyFont="1" applyFill="1" applyBorder="1" applyAlignment="1">
      <alignment vertical="center" wrapText="1" shrinkToFit="1"/>
    </xf>
    <xf numFmtId="0" fontId="38" fillId="34" borderId="72" xfId="0" applyFont="1" applyFill="1" applyBorder="1" applyAlignment="1">
      <alignment vertical="center" wrapText="1" shrinkToFit="1"/>
    </xf>
    <xf numFmtId="0" fontId="38" fillId="34" borderId="73" xfId="0" applyFont="1" applyFill="1" applyBorder="1" applyAlignment="1">
      <alignment vertical="center" wrapText="1" shrinkToFit="1"/>
    </xf>
    <xf numFmtId="0" fontId="38" fillId="34" borderId="71" xfId="0" applyFont="1" applyFill="1" applyBorder="1" applyAlignment="1">
      <alignment vertical="center" shrinkToFit="1"/>
    </xf>
    <xf numFmtId="0" fontId="38" fillId="34" borderId="72" xfId="0" applyFont="1" applyFill="1" applyBorder="1" applyAlignment="1">
      <alignment vertical="center" shrinkToFit="1"/>
    </xf>
    <xf numFmtId="0" fontId="38" fillId="34" borderId="73" xfId="0" applyFont="1" applyFill="1" applyBorder="1" applyAlignment="1">
      <alignment vertical="center" shrinkToFit="1"/>
    </xf>
    <xf numFmtId="0" fontId="55" fillId="0" borderId="0" xfId="0" applyFont="1" applyAlignment="1">
      <alignment vertical="center"/>
    </xf>
    <xf numFmtId="0" fontId="55" fillId="0" borderId="74" xfId="0" applyFont="1" applyBorder="1" applyAlignment="1">
      <alignment horizontal="left" vertical="center" wrapText="1"/>
    </xf>
    <xf numFmtId="0" fontId="55" fillId="0" borderId="75" xfId="0" applyFont="1" applyBorder="1" applyAlignment="1">
      <alignment vertical="center"/>
    </xf>
    <xf numFmtId="0" fontId="55" fillId="0" borderId="0" xfId="0" applyFont="1" applyAlignment="1">
      <alignment horizontal="left" vertical="center" wrapText="1"/>
    </xf>
    <xf numFmtId="0" fontId="55" fillId="0" borderId="76" xfId="0" applyFont="1" applyBorder="1" applyAlignment="1">
      <alignment vertical="center"/>
    </xf>
    <xf numFmtId="0" fontId="55" fillId="0" borderId="77" xfId="0" applyFont="1" applyBorder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78" xfId="0" applyFont="1" applyBorder="1" applyAlignment="1">
      <alignment vertical="center"/>
    </xf>
    <xf numFmtId="0" fontId="55" fillId="0" borderId="79" xfId="0" applyFont="1" applyBorder="1" applyAlignment="1">
      <alignment vertical="center"/>
    </xf>
    <xf numFmtId="0" fontId="55" fillId="0" borderId="79" xfId="0" applyFont="1" applyBorder="1" applyAlignment="1">
      <alignment horizontal="left" vertical="center" wrapText="1"/>
    </xf>
    <xf numFmtId="0" fontId="55" fillId="0" borderId="80" xfId="0" applyFont="1" applyBorder="1" applyAlignment="1">
      <alignment vertical="center"/>
    </xf>
    <xf numFmtId="0" fontId="55" fillId="0" borderId="81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14" fillId="36" borderId="76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5" fillId="0" borderId="77" xfId="0" applyFont="1" applyBorder="1" applyAlignment="1">
      <alignment vertical="center"/>
    </xf>
    <xf numFmtId="0" fontId="55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 wrapText="1"/>
    </xf>
    <xf numFmtId="0" fontId="55" fillId="0" borderId="74" xfId="0" applyFont="1" applyBorder="1" applyAlignment="1">
      <alignment horizontal="left" vertical="center"/>
    </xf>
    <xf numFmtId="0" fontId="55" fillId="0" borderId="81" xfId="0" applyFont="1" applyBorder="1" applyAlignment="1">
      <alignment horizontal="left" vertical="center"/>
    </xf>
    <xf numFmtId="0" fontId="55" fillId="0" borderId="76" xfId="0" applyFont="1" applyBorder="1" applyAlignment="1">
      <alignment horizontal="center" vertical="center"/>
    </xf>
    <xf numFmtId="0" fontId="55" fillId="0" borderId="78" xfId="0" applyFont="1" applyBorder="1" applyAlignment="1">
      <alignment horizontal="left" vertical="center"/>
    </xf>
    <xf numFmtId="0" fontId="55" fillId="0" borderId="79" xfId="0" applyFont="1" applyBorder="1" applyAlignment="1">
      <alignment horizontal="left" vertical="center"/>
    </xf>
    <xf numFmtId="0" fontId="55" fillId="0" borderId="82" xfId="0" applyFont="1" applyBorder="1" applyAlignment="1">
      <alignment horizontal="center" vertical="center" wrapText="1"/>
    </xf>
    <xf numFmtId="0" fontId="0" fillId="43" borderId="83" xfId="0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37" borderId="83" xfId="0" applyFill="1" applyBorder="1" applyAlignment="1">
      <alignment horizontal="center" vertical="center"/>
    </xf>
    <xf numFmtId="0" fontId="0" fillId="38" borderId="8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7" fillId="0" borderId="84" xfId="0" applyFont="1" applyBorder="1" applyAlignment="1">
      <alignment horizontal="center" vertical="center" wrapText="1"/>
    </xf>
    <xf numFmtId="0" fontId="55" fillId="0" borderId="83" xfId="0" applyFont="1" applyBorder="1" applyAlignment="1">
      <alignment horizontal="center" vertical="center" wrapText="1"/>
    </xf>
    <xf numFmtId="0" fontId="11" fillId="5" borderId="11" xfId="0" applyFont="1" applyFill="1" applyBorder="1"/>
    <xf numFmtId="0" fontId="29" fillId="5" borderId="0" xfId="0" applyFont="1" applyFill="1"/>
    <xf numFmtId="0" fontId="38" fillId="34" borderId="85" xfId="0" applyFont="1" applyFill="1" applyBorder="1" applyAlignment="1">
      <alignment vertical="center" shrinkToFit="1"/>
    </xf>
    <xf numFmtId="0" fontId="38" fillId="34" borderId="86" xfId="0" applyFont="1" applyFill="1" applyBorder="1" applyAlignment="1">
      <alignment vertical="center" shrinkToFit="1"/>
    </xf>
    <xf numFmtId="0" fontId="38" fillId="34" borderId="87" xfId="0" applyFont="1" applyFill="1" applyBorder="1" applyAlignment="1">
      <alignment vertical="center" shrinkToFit="1"/>
    </xf>
    <xf numFmtId="0" fontId="58" fillId="0" borderId="0" xfId="0" applyFont="1" applyAlignment="1">
      <alignment horizontal="center" vertical="center"/>
    </xf>
    <xf numFmtId="0" fontId="0" fillId="0" borderId="76" xfId="0" applyBorder="1"/>
    <xf numFmtId="0" fontId="13" fillId="34" borderId="13" xfId="0" applyFont="1" applyFill="1" applyBorder="1" applyAlignment="1">
      <alignment horizontal="center" vertical="center"/>
    </xf>
    <xf numFmtId="0" fontId="35" fillId="44" borderId="48" xfId="0" applyFont="1" applyFill="1" applyBorder="1" applyAlignment="1">
      <alignment horizontal="center" vertical="center" wrapText="1"/>
    </xf>
    <xf numFmtId="0" fontId="35" fillId="42" borderId="48" xfId="0" applyFont="1" applyFill="1" applyBorder="1" applyAlignment="1">
      <alignment horizontal="center" vertical="center" wrapText="1"/>
    </xf>
    <xf numFmtId="0" fontId="35" fillId="45" borderId="48" xfId="0" applyFont="1" applyFill="1" applyBorder="1" applyAlignment="1">
      <alignment horizontal="center" vertical="center" wrapText="1"/>
    </xf>
    <xf numFmtId="0" fontId="35" fillId="41" borderId="48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right"/>
    </xf>
    <xf numFmtId="0" fontId="10" fillId="5" borderId="50" xfId="0" applyFont="1" applyFill="1" applyBorder="1" applyAlignment="1">
      <alignment horizontal="center"/>
    </xf>
    <xf numFmtId="0" fontId="34" fillId="5" borderId="88" xfId="0" applyFont="1" applyFill="1" applyBorder="1"/>
    <xf numFmtId="0" fontId="34" fillId="5" borderId="89" xfId="0" applyFont="1" applyFill="1" applyBorder="1"/>
    <xf numFmtId="0" fontId="10" fillId="9" borderId="143" xfId="0" applyFont="1" applyFill="1" applyBorder="1" applyAlignment="1">
      <alignment horizontal="center" vertical="top" wrapText="1"/>
    </xf>
    <xf numFmtId="0" fontId="10" fillId="9" borderId="144" xfId="0" applyFont="1" applyFill="1" applyBorder="1" applyAlignment="1">
      <alignment horizontal="center" vertical="top" wrapText="1"/>
    </xf>
    <xf numFmtId="0" fontId="10" fillId="9" borderId="145" xfId="0" applyFont="1" applyFill="1" applyBorder="1" applyAlignment="1">
      <alignment horizontal="center" vertical="top" wrapText="1"/>
    </xf>
    <xf numFmtId="0" fontId="10" fillId="9" borderId="90" xfId="0" applyFont="1" applyFill="1" applyBorder="1" applyAlignment="1">
      <alignment vertical="top" wrapText="1"/>
    </xf>
    <xf numFmtId="0" fontId="10" fillId="9" borderId="146" xfId="0" applyFont="1" applyFill="1" applyBorder="1" applyAlignment="1">
      <alignment horizontal="center" vertical="top" wrapText="1"/>
    </xf>
    <xf numFmtId="0" fontId="10" fillId="9" borderId="147" xfId="0" applyFont="1" applyFill="1" applyBorder="1" applyAlignment="1">
      <alignment vertical="top" wrapText="1"/>
    </xf>
    <xf numFmtId="0" fontId="10" fillId="9" borderId="148" xfId="0" applyFont="1" applyFill="1" applyBorder="1" applyAlignment="1">
      <alignment horizontal="center" vertical="top" wrapText="1"/>
    </xf>
    <xf numFmtId="0" fontId="34" fillId="5" borderId="149" xfId="0" applyFont="1" applyFill="1" applyBorder="1"/>
    <xf numFmtId="0" fontId="34" fillId="5" borderId="68" xfId="0" applyFont="1" applyFill="1" applyBorder="1"/>
    <xf numFmtId="167" fontId="16" fillId="9" borderId="51" xfId="0" applyNumberFormat="1" applyFont="1" applyFill="1" applyBorder="1" applyAlignment="1">
      <alignment horizontal="center" vertical="center" wrapText="1" shrinkToFit="1"/>
    </xf>
    <xf numFmtId="0" fontId="10" fillId="2" borderId="0" xfId="0" applyFont="1" applyFill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55" fillId="0" borderId="91" xfId="0" applyFont="1" applyBorder="1" applyAlignment="1">
      <alignment horizontal="center" vertical="center" wrapText="1"/>
    </xf>
    <xf numFmtId="0" fontId="55" fillId="0" borderId="92" xfId="0" applyFont="1" applyBorder="1" applyAlignment="1">
      <alignment horizontal="center" vertical="center" wrapText="1"/>
    </xf>
    <xf numFmtId="0" fontId="62" fillId="0" borderId="93" xfId="0" applyFont="1" applyBorder="1" applyAlignment="1">
      <alignment horizontal="center" vertical="center" wrapText="1"/>
    </xf>
    <xf numFmtId="0" fontId="55" fillId="0" borderId="93" xfId="0" applyFont="1" applyBorder="1" applyAlignment="1">
      <alignment horizontal="center" vertical="center" wrapText="1"/>
    </xf>
    <xf numFmtId="0" fontId="55" fillId="0" borderId="78" xfId="0" applyFont="1" applyBorder="1" applyAlignment="1">
      <alignment horizontal="center" vertical="center" wrapText="1"/>
    </xf>
    <xf numFmtId="0" fontId="10" fillId="9" borderId="94" xfId="0" applyFont="1" applyFill="1" applyBorder="1" applyAlignment="1">
      <alignment horizontal="center" vertical="center" wrapText="1"/>
    </xf>
    <xf numFmtId="14" fontId="10" fillId="9" borderId="95" xfId="0" applyNumberFormat="1" applyFont="1" applyFill="1" applyBorder="1" applyAlignment="1">
      <alignment horizontal="center" vertical="center" wrapText="1"/>
    </xf>
    <xf numFmtId="0" fontId="10" fillId="9" borderId="95" xfId="0" applyFont="1" applyFill="1" applyBorder="1" applyAlignment="1">
      <alignment horizontal="center" vertical="center" wrapText="1"/>
    </xf>
    <xf numFmtId="0" fontId="10" fillId="9" borderId="95" xfId="0" applyFont="1" applyFill="1" applyBorder="1" applyAlignment="1">
      <alignment horizontal="left" vertical="center" wrapText="1"/>
    </xf>
    <xf numFmtId="0" fontId="10" fillId="9" borderId="56" xfId="0" applyFont="1" applyFill="1" applyBorder="1" applyAlignment="1">
      <alignment vertical="center" wrapText="1"/>
    </xf>
    <xf numFmtId="0" fontId="10" fillId="46" borderId="44" xfId="0" applyFont="1" applyFill="1" applyBorder="1"/>
    <xf numFmtId="0" fontId="10" fillId="46" borderId="44" xfId="0" applyFont="1" applyFill="1" applyBorder="1" applyAlignment="1">
      <alignment vertical="center"/>
    </xf>
    <xf numFmtId="0" fontId="10" fillId="47" borderId="44" xfId="0" applyFont="1" applyFill="1" applyBorder="1" applyAlignment="1">
      <alignment vertical="center"/>
    </xf>
    <xf numFmtId="0" fontId="10" fillId="47" borderId="44" xfId="0" applyFont="1" applyFill="1" applyBorder="1"/>
    <xf numFmtId="0" fontId="65" fillId="0" borderId="0" xfId="0" applyFont="1" applyAlignment="1">
      <alignment vertical="center"/>
    </xf>
    <xf numFmtId="0" fontId="63" fillId="0" borderId="0" xfId="0" applyFont="1" applyAlignment="1">
      <alignment wrapText="1"/>
    </xf>
    <xf numFmtId="0" fontId="63" fillId="0" borderId="0" xfId="0" applyFont="1" applyAlignment="1">
      <alignment vertical="center" wrapText="1"/>
    </xf>
    <xf numFmtId="0" fontId="63" fillId="0" borderId="0" xfId="0" applyFont="1" applyAlignment="1">
      <alignment vertical="center"/>
    </xf>
    <xf numFmtId="0" fontId="66" fillId="48" borderId="150" xfId="0" applyFont="1" applyFill="1" applyBorder="1" applyAlignment="1">
      <alignment horizontal="left" vertical="center" wrapText="1"/>
    </xf>
    <xf numFmtId="0" fontId="66" fillId="48" borderId="151" xfId="0" applyFont="1" applyFill="1" applyBorder="1" applyAlignment="1">
      <alignment horizontal="left" vertical="center" wrapText="1"/>
    </xf>
    <xf numFmtId="0" fontId="66" fillId="48" borderId="152" xfId="0" applyFont="1" applyFill="1" applyBorder="1" applyAlignment="1">
      <alignment horizontal="left" vertical="center" wrapText="1"/>
    </xf>
    <xf numFmtId="0" fontId="63" fillId="0" borderId="152" xfId="0" applyFont="1" applyBorder="1" applyAlignment="1">
      <alignment horizontal="left" vertical="center" wrapText="1"/>
    </xf>
    <xf numFmtId="0" fontId="63" fillId="0" borderId="153" xfId="0" applyFont="1" applyBorder="1" applyAlignment="1">
      <alignment horizontal="left" vertical="center" wrapText="1"/>
    </xf>
    <xf numFmtId="9" fontId="63" fillId="0" borderId="153" xfId="0" applyNumberFormat="1" applyFont="1" applyBorder="1" applyAlignment="1">
      <alignment horizontal="left" vertical="center" wrapText="1"/>
    </xf>
    <xf numFmtId="0" fontId="63" fillId="0" borderId="150" xfId="0" applyFont="1" applyBorder="1" applyAlignment="1">
      <alignment horizontal="left" vertical="center" wrapText="1"/>
    </xf>
    <xf numFmtId="0" fontId="63" fillId="0" borderId="151" xfId="0" applyFont="1" applyBorder="1" applyAlignment="1">
      <alignment horizontal="left" vertical="center" wrapText="1"/>
    </xf>
    <xf numFmtId="0" fontId="63" fillId="0" borderId="154" xfId="0" applyFont="1" applyBorder="1" applyAlignment="1">
      <alignment horizontal="left" vertical="center" wrapText="1"/>
    </xf>
    <xf numFmtId="0" fontId="63" fillId="0" borderId="155" xfId="0" applyFont="1" applyBorder="1" applyAlignment="1">
      <alignment horizontal="left" vertical="center" wrapText="1"/>
    </xf>
    <xf numFmtId="9" fontId="63" fillId="0" borderId="155" xfId="0" applyNumberFormat="1" applyFont="1" applyBorder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63" fillId="0" borderId="156" xfId="0" applyFont="1" applyBorder="1" applyAlignment="1">
      <alignment horizontal="left" vertical="center" wrapText="1"/>
    </xf>
    <xf numFmtId="0" fontId="63" fillId="0" borderId="157" xfId="0" applyFont="1" applyBorder="1" applyAlignment="1">
      <alignment horizontal="left" vertical="center" wrapText="1"/>
    </xf>
    <xf numFmtId="0" fontId="63" fillId="0" borderId="158" xfId="0" applyFont="1" applyBorder="1" applyAlignment="1">
      <alignment horizontal="left" vertical="center" wrapText="1"/>
    </xf>
    <xf numFmtId="0" fontId="63" fillId="0" borderId="159" xfId="0" applyFont="1" applyBorder="1" applyAlignment="1">
      <alignment horizontal="left" vertical="center" wrapText="1"/>
    </xf>
    <xf numFmtId="9" fontId="63" fillId="0" borderId="160" xfId="0" applyNumberFormat="1" applyFont="1" applyBorder="1" applyAlignment="1">
      <alignment horizontal="left" vertical="center" wrapText="1"/>
    </xf>
    <xf numFmtId="0" fontId="63" fillId="0" borderId="160" xfId="0" applyFont="1" applyBorder="1" applyAlignment="1">
      <alignment horizontal="left" vertical="center" wrapText="1"/>
    </xf>
    <xf numFmtId="0" fontId="63" fillId="0" borderId="96" xfId="0" applyFont="1" applyBorder="1" applyAlignment="1">
      <alignment horizontal="left" vertical="center" wrapText="1"/>
    </xf>
    <xf numFmtId="0" fontId="63" fillId="0" borderId="161" xfId="0" applyFont="1" applyBorder="1" applyAlignment="1">
      <alignment horizontal="left" vertical="center" wrapText="1"/>
    </xf>
    <xf numFmtId="0" fontId="63" fillId="0" borderId="162" xfId="0" applyFont="1" applyBorder="1" applyAlignment="1">
      <alignment horizontal="left" vertical="center" wrapText="1"/>
    </xf>
    <xf numFmtId="0" fontId="63" fillId="0" borderId="163" xfId="0" applyFont="1" applyBorder="1" applyAlignment="1">
      <alignment horizontal="left" vertical="center" wrapText="1"/>
    </xf>
    <xf numFmtId="9" fontId="63" fillId="0" borderId="97" xfId="0" applyNumberFormat="1" applyFont="1" applyBorder="1" applyAlignment="1">
      <alignment horizontal="left" vertical="center" wrapText="1"/>
    </xf>
    <xf numFmtId="0" fontId="63" fillId="0" borderId="98" xfId="0" applyFont="1" applyBorder="1" applyAlignment="1">
      <alignment horizontal="left" vertical="center" wrapText="1"/>
    </xf>
    <xf numFmtId="9" fontId="63" fillId="0" borderId="98" xfId="0" applyNumberFormat="1" applyFont="1" applyBorder="1" applyAlignment="1">
      <alignment horizontal="left" vertical="center" wrapText="1"/>
    </xf>
    <xf numFmtId="0" fontId="63" fillId="0" borderId="97" xfId="0" applyFont="1" applyBorder="1" applyAlignment="1">
      <alignment horizontal="left" vertical="center" wrapText="1"/>
    </xf>
    <xf numFmtId="0" fontId="10" fillId="2" borderId="83" xfId="0" applyFont="1" applyFill="1" applyBorder="1"/>
    <xf numFmtId="0" fontId="10" fillId="9" borderId="99" xfId="0" applyFont="1" applyFill="1" applyBorder="1" applyAlignment="1">
      <alignment horizontal="left" vertical="center" wrapText="1"/>
    </xf>
    <xf numFmtId="0" fontId="55" fillId="0" borderId="105" xfId="0" applyFont="1" applyBorder="1" applyAlignment="1">
      <alignment horizontal="center" vertical="center" wrapText="1"/>
    </xf>
    <xf numFmtId="0" fontId="55" fillId="0" borderId="83" xfId="0" applyFont="1" applyBorder="1" applyAlignment="1">
      <alignment horizontal="left" vertical="center" wrapText="1"/>
    </xf>
    <xf numFmtId="0" fontId="70" fillId="9" borderId="39" xfId="0" applyFont="1" applyFill="1" applyBorder="1" applyAlignment="1">
      <alignment horizontal="center"/>
    </xf>
    <xf numFmtId="0" fontId="70" fillId="9" borderId="39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wrapText="1"/>
    </xf>
    <xf numFmtId="0" fontId="71" fillId="55" borderId="176" xfId="0" applyFont="1" applyFill="1" applyBorder="1" applyAlignment="1">
      <alignment horizontal="center" vertical="center" wrapText="1"/>
    </xf>
    <xf numFmtId="0" fontId="55" fillId="0" borderId="91" xfId="0" applyFont="1" applyBorder="1" applyAlignment="1">
      <alignment horizontal="justify" vertical="center" wrapText="1"/>
    </xf>
    <xf numFmtId="0" fontId="73" fillId="55" borderId="176" xfId="0" applyFont="1" applyFill="1" applyBorder="1" applyAlignment="1">
      <alignment horizontal="center" vertical="center" wrapText="1"/>
    </xf>
    <xf numFmtId="0" fontId="74" fillId="0" borderId="176" xfId="0" applyFont="1" applyBorder="1" applyAlignment="1">
      <alignment vertical="center" wrapText="1"/>
    </xf>
    <xf numFmtId="2" fontId="16" fillId="9" borderId="37" xfId="0" applyNumberFormat="1" applyFont="1" applyFill="1" applyBorder="1" applyAlignment="1">
      <alignment horizontal="center" vertical="top" wrapText="1"/>
    </xf>
    <xf numFmtId="168" fontId="16" fillId="9" borderId="36" xfId="0" applyNumberFormat="1" applyFont="1" applyFill="1" applyBorder="1" applyAlignment="1">
      <alignment horizontal="center" vertical="top" wrapText="1"/>
    </xf>
    <xf numFmtId="168" fontId="16" fillId="9" borderId="37" xfId="0" applyNumberFormat="1" applyFont="1" applyFill="1" applyBorder="1" applyAlignment="1">
      <alignment horizontal="center" vertical="top" wrapText="1"/>
    </xf>
    <xf numFmtId="1" fontId="16" fillId="9" borderId="36" xfId="0" applyNumberFormat="1" applyFont="1" applyFill="1" applyBorder="1" applyAlignment="1">
      <alignment horizontal="center" vertical="top" wrapText="1"/>
    </xf>
    <xf numFmtId="1" fontId="16" fillId="9" borderId="37" xfId="0" applyNumberFormat="1" applyFont="1" applyFill="1" applyBorder="1" applyAlignment="1">
      <alignment horizontal="center" vertical="top" wrapText="1"/>
    </xf>
    <xf numFmtId="1" fontId="16" fillId="9" borderId="36" xfId="0" applyNumberFormat="1" applyFont="1" applyFill="1" applyBorder="1" applyAlignment="1">
      <alignment horizontal="right" vertical="top" wrapText="1"/>
    </xf>
    <xf numFmtId="0" fontId="76" fillId="9" borderId="37" xfId="0" applyFont="1" applyFill="1" applyBorder="1" applyAlignment="1">
      <alignment horizontal="center" vertical="top" wrapText="1"/>
    </xf>
    <xf numFmtId="20" fontId="15" fillId="9" borderId="39" xfId="0" applyNumberFormat="1" applyFont="1" applyFill="1" applyBorder="1" applyAlignment="1">
      <alignment horizontal="center" vertical="center" wrapText="1"/>
    </xf>
    <xf numFmtId="20" fontId="15" fillId="9" borderId="38" xfId="0" applyNumberFormat="1" applyFont="1" applyFill="1" applyBorder="1" applyAlignment="1">
      <alignment horizontal="center" vertical="center" wrapText="1"/>
    </xf>
    <xf numFmtId="0" fontId="70" fillId="9" borderId="49" xfId="0" applyFont="1" applyFill="1" applyBorder="1"/>
    <xf numFmtId="0" fontId="70" fillId="5" borderId="50" xfId="0" applyFont="1" applyFill="1" applyBorder="1"/>
    <xf numFmtId="0" fontId="77" fillId="9" borderId="39" xfId="0" applyFont="1" applyFill="1" applyBorder="1" applyAlignment="1">
      <alignment horizontal="center" vertical="center" wrapText="1"/>
    </xf>
    <xf numFmtId="0" fontId="0" fillId="0" borderId="83" xfId="0" applyBorder="1"/>
    <xf numFmtId="0" fontId="70" fillId="2" borderId="0" xfId="0" applyFont="1" applyFill="1"/>
    <xf numFmtId="169" fontId="55" fillId="0" borderId="82" xfId="0" applyNumberFormat="1" applyFont="1" applyBorder="1" applyAlignment="1">
      <alignment horizontal="center" vertical="center" wrapText="1"/>
    </xf>
    <xf numFmtId="49" fontId="15" fillId="9" borderId="39" xfId="0" applyNumberFormat="1" applyFont="1" applyFill="1" applyBorder="1" applyAlignment="1">
      <alignment horizontal="center" vertical="top" wrapText="1"/>
    </xf>
    <xf numFmtId="0" fontId="55" fillId="0" borderId="91" xfId="0" applyFont="1" applyBorder="1" applyAlignment="1">
      <alignment horizontal="left" vertical="center" wrapText="1"/>
    </xf>
    <xf numFmtId="169" fontId="55" fillId="0" borderId="91" xfId="0" applyNumberFormat="1" applyFont="1" applyBorder="1" applyAlignment="1">
      <alignment horizontal="center" vertical="center" wrapText="1"/>
    </xf>
    <xf numFmtId="169" fontId="55" fillId="0" borderId="83" xfId="0" applyNumberFormat="1" applyFont="1" applyBorder="1" applyAlignment="1">
      <alignment horizontal="center" vertical="center" wrapText="1"/>
    </xf>
    <xf numFmtId="0" fontId="62" fillId="0" borderId="93" xfId="0" applyFont="1" applyBorder="1" applyAlignment="1">
      <alignment horizontal="justify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78" fillId="9" borderId="19" xfId="69" applyFill="1" applyBorder="1" applyAlignment="1">
      <alignment horizontal="center" vertical="center" wrapText="1"/>
    </xf>
    <xf numFmtId="0" fontId="70" fillId="9" borderId="94" xfId="0" applyFont="1" applyFill="1" applyBorder="1" applyAlignment="1">
      <alignment horizontal="center" vertical="center" wrapText="1"/>
    </xf>
    <xf numFmtId="14" fontId="70" fillId="9" borderId="95" xfId="0" applyNumberFormat="1" applyFont="1" applyFill="1" applyBorder="1" applyAlignment="1">
      <alignment horizontal="center" vertical="center" wrapText="1"/>
    </xf>
    <xf numFmtId="0" fontId="70" fillId="9" borderId="95" xfId="0" applyFont="1" applyFill="1" applyBorder="1" applyAlignment="1">
      <alignment horizontal="left" vertical="center" wrapText="1"/>
    </xf>
    <xf numFmtId="0" fontId="70" fillId="9" borderId="95" xfId="0" applyFont="1" applyFill="1" applyBorder="1" applyAlignment="1">
      <alignment horizontal="center" vertical="center" wrapText="1"/>
    </xf>
    <xf numFmtId="0" fontId="70" fillId="9" borderId="56" xfId="0" applyFont="1" applyFill="1" applyBorder="1" applyAlignment="1">
      <alignment vertical="center" wrapText="1"/>
    </xf>
    <xf numFmtId="0" fontId="70" fillId="2" borderId="0" xfId="0" applyFont="1" applyFill="1" applyAlignment="1">
      <alignment vertical="center" wrapText="1"/>
    </xf>
    <xf numFmtId="0" fontId="63" fillId="0" borderId="0" xfId="0" applyFont="1" applyAlignment="1">
      <alignment vertical="center" wrapText="1"/>
    </xf>
    <xf numFmtId="0" fontId="0" fillId="0" borderId="0" xfId="0"/>
    <xf numFmtId="0" fontId="68" fillId="48" borderId="172" xfId="0" applyFont="1" applyFill="1" applyBorder="1" applyAlignment="1">
      <alignment horizontal="left" vertical="center" wrapText="1"/>
    </xf>
    <xf numFmtId="0" fontId="63" fillId="0" borderId="152" xfId="0" applyFont="1" applyBorder="1" applyAlignment="1">
      <alignment horizontal="left"/>
    </xf>
    <xf numFmtId="0" fontId="69" fillId="48" borderId="172" xfId="0" applyFont="1" applyFill="1" applyBorder="1" applyAlignment="1">
      <alignment horizontal="left" vertical="center" wrapText="1"/>
    </xf>
    <xf numFmtId="0" fontId="66" fillId="48" borderId="172" xfId="0" applyFont="1" applyFill="1" applyBorder="1" applyAlignment="1">
      <alignment horizontal="left" vertical="center" wrapText="1"/>
    </xf>
    <xf numFmtId="0" fontId="66" fillId="48" borderId="173" xfId="0" applyFont="1" applyFill="1" applyBorder="1" applyAlignment="1">
      <alignment horizontal="left" vertical="center" wrapText="1"/>
    </xf>
    <xf numFmtId="0" fontId="63" fillId="0" borderId="174" xfId="0" applyFont="1" applyBorder="1" applyAlignment="1">
      <alignment horizontal="left"/>
    </xf>
    <xf numFmtId="0" fontId="63" fillId="0" borderId="175" xfId="0" applyFont="1" applyBorder="1" applyAlignment="1">
      <alignment horizontal="left"/>
    </xf>
    <xf numFmtId="0" fontId="11" fillId="5" borderId="11" xfId="0" applyFont="1" applyFill="1" applyBorder="1" applyAlignment="1">
      <alignment horizontal="right"/>
    </xf>
    <xf numFmtId="0" fontId="29" fillId="5" borderId="0" xfId="0" applyFont="1" applyFill="1" applyAlignment="1">
      <alignment horizontal="right"/>
    </xf>
    <xf numFmtId="0" fontId="67" fillId="34" borderId="12" xfId="0" applyFont="1" applyFill="1" applyBorder="1" applyAlignment="1">
      <alignment horizontal="center" vertical="center" wrapText="1"/>
    </xf>
    <xf numFmtId="0" fontId="67" fillId="34" borderId="48" xfId="0" applyFont="1" applyFill="1" applyBorder="1" applyAlignment="1">
      <alignment horizontal="center" vertical="center" wrapText="1"/>
    </xf>
    <xf numFmtId="0" fontId="67" fillId="34" borderId="70" xfId="0" applyFont="1" applyFill="1" applyBorder="1" applyAlignment="1">
      <alignment horizontal="center" vertical="center" wrapText="1"/>
    </xf>
    <xf numFmtId="0" fontId="67" fillId="34" borderId="118" xfId="0" applyFont="1" applyFill="1" applyBorder="1" applyAlignment="1">
      <alignment horizontal="center" vertical="center" textRotation="90" wrapText="1"/>
    </xf>
    <xf numFmtId="0" fontId="67" fillId="34" borderId="116" xfId="0" applyFont="1" applyFill="1" applyBorder="1" applyAlignment="1">
      <alignment horizontal="center" vertical="center" textRotation="90" wrapText="1"/>
    </xf>
    <xf numFmtId="0" fontId="67" fillId="34" borderId="117" xfId="0" applyFont="1" applyFill="1" applyBorder="1" applyAlignment="1">
      <alignment horizontal="center" vertical="center" textRotation="90" wrapText="1"/>
    </xf>
    <xf numFmtId="0" fontId="10" fillId="9" borderId="46" xfId="0" applyFont="1" applyFill="1" applyBorder="1" applyAlignment="1">
      <alignment vertical="top" wrapText="1"/>
    </xf>
    <xf numFmtId="0" fontId="10" fillId="9" borderId="119" xfId="0" applyFont="1" applyFill="1" applyBorder="1" applyAlignment="1">
      <alignment vertical="top" wrapText="1"/>
    </xf>
    <xf numFmtId="0" fontId="10" fillId="9" borderId="171" xfId="0" applyFont="1" applyFill="1" applyBorder="1" applyAlignment="1">
      <alignment vertical="top" wrapText="1"/>
    </xf>
    <xf numFmtId="0" fontId="10" fillId="9" borderId="120" xfId="0" applyFont="1" applyFill="1" applyBorder="1" applyAlignment="1">
      <alignment vertical="top" wrapText="1"/>
    </xf>
    <xf numFmtId="0" fontId="10" fillId="9" borderId="121" xfId="0" applyFont="1" applyFill="1" applyBorder="1" applyAlignment="1">
      <alignment vertical="top" wrapText="1"/>
    </xf>
    <xf numFmtId="0" fontId="10" fillId="9" borderId="164" xfId="0" applyFont="1" applyFill="1" applyBorder="1" applyAlignment="1">
      <alignment vertical="top" wrapText="1"/>
    </xf>
    <xf numFmtId="0" fontId="10" fillId="9" borderId="29" xfId="0" applyFont="1" applyFill="1" applyBorder="1" applyAlignment="1">
      <alignment vertical="top" wrapText="1"/>
    </xf>
    <xf numFmtId="0" fontId="10" fillId="9" borderId="26" xfId="0" applyFont="1" applyFill="1" applyBorder="1" applyAlignment="1">
      <alignment vertical="top" wrapText="1"/>
    </xf>
    <xf numFmtId="0" fontId="10" fillId="9" borderId="165" xfId="0" applyFont="1" applyFill="1" applyBorder="1" applyAlignment="1">
      <alignment horizontal="left" vertical="top" wrapText="1"/>
    </xf>
    <xf numFmtId="0" fontId="10" fillId="9" borderId="166" xfId="0" applyFont="1" applyFill="1" applyBorder="1" applyAlignment="1">
      <alignment horizontal="left" vertical="top" wrapText="1"/>
    </xf>
    <xf numFmtId="0" fontId="10" fillId="9" borderId="167" xfId="0" applyFont="1" applyFill="1" applyBorder="1" applyAlignment="1">
      <alignment horizontal="left" vertical="top" wrapText="1"/>
    </xf>
    <xf numFmtId="0" fontId="10" fillId="9" borderId="168" xfId="0" applyFont="1" applyFill="1" applyBorder="1" applyAlignment="1">
      <alignment horizontal="left" wrapText="1"/>
    </xf>
    <xf numFmtId="0" fontId="10" fillId="9" borderId="169" xfId="0" applyFont="1" applyFill="1" applyBorder="1" applyAlignment="1">
      <alignment horizontal="left" wrapText="1"/>
    </xf>
    <xf numFmtId="0" fontId="10" fillId="9" borderId="170" xfId="0" applyFont="1" applyFill="1" applyBorder="1" applyAlignment="1">
      <alignment horizontal="left" wrapText="1"/>
    </xf>
    <xf numFmtId="0" fontId="10" fillId="9" borderId="164" xfId="0" applyFont="1" applyFill="1" applyBorder="1" applyAlignment="1">
      <alignment horizontal="left" wrapText="1"/>
    </xf>
    <xf numFmtId="0" fontId="10" fillId="9" borderId="29" xfId="0" applyFont="1" applyFill="1" applyBorder="1" applyAlignment="1">
      <alignment horizontal="left" wrapText="1"/>
    </xf>
    <xf numFmtId="0" fontId="10" fillId="9" borderId="26" xfId="0" applyFont="1" applyFill="1" applyBorder="1" applyAlignment="1">
      <alignment horizontal="left" wrapText="1"/>
    </xf>
    <xf numFmtId="0" fontId="13" fillId="34" borderId="13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left"/>
    </xf>
    <xf numFmtId="0" fontId="0" fillId="5" borderId="41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11" fillId="5" borderId="11" xfId="0" applyFont="1" applyFill="1" applyBorder="1" applyAlignment="1">
      <alignment horizontal="center" vertical="center" wrapText="1"/>
    </xf>
    <xf numFmtId="0" fontId="12" fillId="5" borderId="100" xfId="0" applyFont="1" applyFill="1" applyBorder="1" applyAlignment="1">
      <alignment horizontal="center" vertical="center" wrapText="1"/>
    </xf>
    <xf numFmtId="0" fontId="0" fillId="5" borderId="101" xfId="0" applyFill="1" applyBorder="1" applyAlignment="1">
      <alignment horizontal="center"/>
    </xf>
    <xf numFmtId="0" fontId="10" fillId="39" borderId="70" xfId="0" applyFont="1" applyFill="1" applyBorder="1" applyAlignment="1">
      <alignment horizontal="center" vertical="center" wrapText="1"/>
    </xf>
    <xf numFmtId="0" fontId="14" fillId="5" borderId="102" xfId="0" applyFont="1" applyFill="1" applyBorder="1" applyAlignment="1">
      <alignment horizontal="center"/>
    </xf>
    <xf numFmtId="0" fontId="10" fillId="5" borderId="103" xfId="0" applyFont="1" applyFill="1" applyBorder="1" applyAlignment="1">
      <alignment horizontal="center"/>
    </xf>
    <xf numFmtId="0" fontId="58" fillId="0" borderId="83" xfId="0" applyFont="1" applyBorder="1" applyAlignment="1">
      <alignment horizontal="center" vertical="center"/>
    </xf>
    <xf numFmtId="14" fontId="58" fillId="0" borderId="83" xfId="0" applyNumberFormat="1" applyFont="1" applyBorder="1" applyAlignment="1">
      <alignment horizontal="center" vertical="center"/>
    </xf>
    <xf numFmtId="0" fontId="55" fillId="0" borderId="83" xfId="0" applyFont="1" applyBorder="1" applyAlignment="1">
      <alignment horizontal="center" vertical="center"/>
    </xf>
    <xf numFmtId="0" fontId="58" fillId="0" borderId="82" xfId="0" applyFont="1" applyBorder="1" applyAlignment="1">
      <alignment horizontal="center" vertical="center"/>
    </xf>
    <xf numFmtId="0" fontId="58" fillId="0" borderId="105" xfId="0" applyFont="1" applyBorder="1" applyAlignment="1">
      <alignment horizontal="center" vertical="center"/>
    </xf>
    <xf numFmtId="0" fontId="55" fillId="0" borderId="82" xfId="0" applyFont="1" applyBorder="1" applyAlignment="1">
      <alignment horizontal="center" vertical="center"/>
    </xf>
    <xf numFmtId="0" fontId="55" fillId="0" borderId="105" xfId="0" applyFont="1" applyBorder="1" applyAlignment="1">
      <alignment horizontal="center" vertical="center"/>
    </xf>
    <xf numFmtId="0" fontId="56" fillId="38" borderId="93" xfId="0" applyFont="1" applyFill="1" applyBorder="1" applyAlignment="1">
      <alignment horizontal="left" vertical="center" wrapText="1"/>
    </xf>
    <xf numFmtId="0" fontId="57" fillId="0" borderId="83" xfId="0" applyFont="1" applyBorder="1" applyAlignment="1">
      <alignment horizontal="center" vertical="center"/>
    </xf>
    <xf numFmtId="0" fontId="56" fillId="38" borderId="83" xfId="0" applyFont="1" applyFill="1" applyBorder="1" applyAlignment="1">
      <alignment horizontal="left" vertical="center" wrapText="1"/>
    </xf>
    <xf numFmtId="0" fontId="57" fillId="0" borderId="81" xfId="0" applyFont="1" applyBorder="1" applyAlignment="1">
      <alignment horizontal="left" vertical="center"/>
    </xf>
    <xf numFmtId="0" fontId="57" fillId="0" borderId="74" xfId="0" applyFont="1" applyBorder="1" applyAlignment="1">
      <alignment horizontal="left" vertical="center"/>
    </xf>
    <xf numFmtId="0" fontId="57" fillId="0" borderId="75" xfId="0" applyFont="1" applyBorder="1" applyAlignment="1">
      <alignment horizontal="left" vertical="center"/>
    </xf>
    <xf numFmtId="0" fontId="57" fillId="0" borderId="82" xfId="0" applyFont="1" applyBorder="1" applyAlignment="1">
      <alignment horizontal="center" vertical="center" wrapText="1"/>
    </xf>
    <xf numFmtId="0" fontId="57" fillId="0" borderId="105" xfId="0" applyFont="1" applyBorder="1" applyAlignment="1">
      <alignment horizontal="center" vertical="center" wrapText="1"/>
    </xf>
    <xf numFmtId="0" fontId="55" fillId="0" borderId="77" xfId="0" applyFont="1" applyBorder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5" fillId="0" borderId="82" xfId="0" applyFont="1" applyBorder="1" applyAlignment="1">
      <alignment horizontal="center" vertical="center" wrapText="1"/>
    </xf>
    <xf numFmtId="0" fontId="55" fillId="0" borderId="104" xfId="0" applyFont="1" applyBorder="1" applyAlignment="1">
      <alignment horizontal="center" vertical="center" wrapText="1"/>
    </xf>
    <xf numFmtId="0" fontId="55" fillId="0" borderId="105" xfId="0" applyFont="1" applyBorder="1" applyAlignment="1">
      <alignment horizontal="center" vertical="center" wrapText="1"/>
    </xf>
    <xf numFmtId="0" fontId="58" fillId="0" borderId="82" xfId="0" applyFont="1" applyBorder="1" applyAlignment="1">
      <alignment horizontal="left" vertical="center" wrapText="1"/>
    </xf>
    <xf numFmtId="0" fontId="58" fillId="0" borderId="104" xfId="0" applyFont="1" applyBorder="1" applyAlignment="1">
      <alignment horizontal="left" vertical="center" wrapText="1"/>
    </xf>
    <xf numFmtId="0" fontId="58" fillId="0" borderId="105" xfId="0" applyFont="1" applyBorder="1" applyAlignment="1">
      <alignment horizontal="left" vertical="center" wrapText="1"/>
    </xf>
    <xf numFmtId="0" fontId="57" fillId="0" borderId="82" xfId="0" applyFont="1" applyBorder="1" applyAlignment="1">
      <alignment horizontal="left" vertical="center"/>
    </xf>
    <xf numFmtId="0" fontId="57" fillId="0" borderId="104" xfId="0" applyFont="1" applyBorder="1" applyAlignment="1">
      <alignment horizontal="left" vertical="center"/>
    </xf>
    <xf numFmtId="0" fontId="57" fillId="0" borderId="105" xfId="0" applyFont="1" applyBorder="1" applyAlignment="1">
      <alignment horizontal="left" vertical="center"/>
    </xf>
    <xf numFmtId="0" fontId="55" fillId="0" borderId="104" xfId="0" applyFont="1" applyBorder="1" applyAlignment="1">
      <alignment horizontal="left" vertical="center"/>
    </xf>
    <xf numFmtId="0" fontId="55" fillId="0" borderId="105" xfId="0" applyFont="1" applyBorder="1" applyAlignment="1">
      <alignment horizontal="left" vertical="center"/>
    </xf>
    <xf numFmtId="0" fontId="56" fillId="38" borderId="82" xfId="0" applyFont="1" applyFill="1" applyBorder="1" applyAlignment="1">
      <alignment horizontal="left" vertical="center" wrapText="1"/>
    </xf>
    <xf numFmtId="0" fontId="56" fillId="38" borderId="104" xfId="0" applyFont="1" applyFill="1" applyBorder="1" applyAlignment="1">
      <alignment horizontal="left" vertical="center" wrapText="1"/>
    </xf>
    <xf numFmtId="0" fontId="56" fillId="38" borderId="105" xfId="0" applyFont="1" applyFill="1" applyBorder="1" applyAlignment="1">
      <alignment horizontal="left" vertical="center" wrapText="1"/>
    </xf>
    <xf numFmtId="0" fontId="56" fillId="38" borderId="77" xfId="0" applyFont="1" applyFill="1" applyBorder="1" applyAlignment="1">
      <alignment horizontal="left" vertical="center" wrapText="1"/>
    </xf>
    <xf numFmtId="0" fontId="56" fillId="38" borderId="0" xfId="0" applyFont="1" applyFill="1" applyAlignment="1">
      <alignment horizontal="left" vertical="center" wrapText="1"/>
    </xf>
    <xf numFmtId="0" fontId="56" fillId="38" borderId="76" xfId="0" applyFont="1" applyFill="1" applyBorder="1" applyAlignment="1">
      <alignment horizontal="left" vertical="center" wrapText="1"/>
    </xf>
    <xf numFmtId="8" fontId="58" fillId="0" borderId="82" xfId="0" applyNumberFormat="1" applyFont="1" applyBorder="1" applyAlignment="1">
      <alignment horizontal="left" vertical="center"/>
    </xf>
    <xf numFmtId="0" fontId="55" fillId="0" borderId="104" xfId="0" applyFont="1" applyBorder="1" applyAlignment="1">
      <alignment horizontal="left" vertical="center" wrapText="1"/>
    </xf>
    <xf numFmtId="0" fontId="55" fillId="0" borderId="105" xfId="0" applyFont="1" applyBorder="1" applyAlignment="1">
      <alignment horizontal="left" vertical="center" wrapText="1"/>
    </xf>
    <xf numFmtId="0" fontId="58" fillId="0" borderId="77" xfId="0" applyFont="1" applyBorder="1" applyAlignment="1">
      <alignment horizontal="left" vertical="center" wrapText="1"/>
    </xf>
    <xf numFmtId="0" fontId="58" fillId="0" borderId="0" xfId="0" applyFont="1" applyAlignment="1">
      <alignment horizontal="left" vertical="center" wrapText="1"/>
    </xf>
    <xf numFmtId="0" fontId="58" fillId="0" borderId="76" xfId="0" applyFont="1" applyBorder="1" applyAlignment="1">
      <alignment horizontal="left" vertical="center" wrapText="1"/>
    </xf>
    <xf numFmtId="0" fontId="58" fillId="0" borderId="77" xfId="0" applyFont="1" applyBorder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8" fillId="0" borderId="76" xfId="0" applyFont="1" applyBorder="1" applyAlignment="1">
      <alignment horizontal="left" vertical="center"/>
    </xf>
    <xf numFmtId="0" fontId="55" fillId="0" borderId="83" xfId="0" applyFont="1" applyBorder="1" applyAlignment="1">
      <alignment horizontal="center" vertical="center" wrapText="1"/>
    </xf>
    <xf numFmtId="14" fontId="55" fillId="0" borderId="83" xfId="0" applyNumberFormat="1" applyFont="1" applyBorder="1" applyAlignment="1">
      <alignment horizontal="center" vertical="center" wrapText="1"/>
    </xf>
    <xf numFmtId="0" fontId="55" fillId="0" borderId="83" xfId="0" applyFont="1" applyBorder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5" borderId="79" xfId="0" applyFont="1" applyFill="1" applyBorder="1" applyAlignment="1">
      <alignment horizontal="center" vertical="center" wrapText="1"/>
    </xf>
    <xf numFmtId="0" fontId="36" fillId="49" borderId="83" xfId="0" applyFont="1" applyFill="1" applyBorder="1" applyAlignment="1">
      <alignment horizontal="center" vertical="center" wrapText="1"/>
    </xf>
    <xf numFmtId="0" fontId="26" fillId="5" borderId="109" xfId="0" applyFont="1" applyFill="1" applyBorder="1" applyAlignment="1">
      <alignment horizontal="center" vertical="center"/>
    </xf>
    <xf numFmtId="0" fontId="10" fillId="5" borderId="107" xfId="0" applyFont="1" applyFill="1" applyBorder="1" applyAlignment="1">
      <alignment horizontal="center"/>
    </xf>
    <xf numFmtId="0" fontId="13" fillId="34" borderId="43" xfId="0" applyFont="1" applyFill="1" applyBorder="1" applyAlignment="1">
      <alignment horizontal="left"/>
    </xf>
    <xf numFmtId="0" fontId="10" fillId="5" borderId="110" xfId="0" applyFont="1" applyFill="1" applyBorder="1" applyAlignment="1">
      <alignment horizontal="center"/>
    </xf>
    <xf numFmtId="0" fontId="25" fillId="9" borderId="19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left"/>
    </xf>
    <xf numFmtId="0" fontId="10" fillId="5" borderId="108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9" borderId="19" xfId="0" applyFont="1" applyFill="1" applyBorder="1" applyAlignment="1">
      <alignment horizontal="left" vertical="top" wrapText="1"/>
    </xf>
    <xf numFmtId="0" fontId="10" fillId="5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top"/>
    </xf>
    <xf numFmtId="0" fontId="10" fillId="9" borderId="19" xfId="0" applyFont="1" applyFill="1" applyBorder="1" applyAlignment="1">
      <alignment horizontal="left" vertical="top"/>
    </xf>
    <xf numFmtId="0" fontId="10" fillId="9" borderId="28" xfId="0" applyFont="1" applyFill="1" applyBorder="1" applyAlignment="1">
      <alignment horizontal="left" vertical="top" wrapText="1"/>
    </xf>
    <xf numFmtId="0" fontId="10" fillId="9" borderId="29" xfId="0" applyFont="1" applyFill="1" applyBorder="1" applyAlignment="1">
      <alignment horizontal="left" vertical="top"/>
    </xf>
    <xf numFmtId="0" fontId="10" fillId="9" borderId="26" xfId="0" applyFont="1" applyFill="1" applyBorder="1" applyAlignment="1">
      <alignment horizontal="left" vertical="top"/>
    </xf>
    <xf numFmtId="0" fontId="70" fillId="9" borderId="27" xfId="0" applyFont="1" applyFill="1" applyBorder="1" applyAlignment="1">
      <alignment horizontal="left" wrapText="1"/>
    </xf>
    <xf numFmtId="0" fontId="70" fillId="9" borderId="0" xfId="0" applyFont="1" applyFill="1" applyAlignment="1">
      <alignment horizontal="left" wrapText="1"/>
    </xf>
    <xf numFmtId="0" fontId="70" fillId="9" borderId="101" xfId="0" applyFont="1" applyFill="1" applyBorder="1" applyAlignment="1">
      <alignment horizontal="left" wrapText="1"/>
    </xf>
    <xf numFmtId="0" fontId="10" fillId="9" borderId="28" xfId="0" applyFont="1" applyFill="1" applyBorder="1" applyAlignment="1">
      <alignment horizontal="left" wrapText="1"/>
    </xf>
    <xf numFmtId="0" fontId="0" fillId="5" borderId="24" xfId="0" applyFill="1" applyBorder="1" applyAlignment="1">
      <alignment horizontal="center"/>
    </xf>
    <xf numFmtId="0" fontId="17" fillId="9" borderId="28" xfId="0" applyFont="1" applyFill="1" applyBorder="1" applyAlignment="1">
      <alignment horizontal="center"/>
    </xf>
    <xf numFmtId="14" fontId="10" fillId="9" borderId="26" xfId="0" applyNumberFormat="1" applyFont="1" applyFill="1" applyBorder="1" applyAlignment="1">
      <alignment horizontal="center"/>
    </xf>
    <xf numFmtId="0" fontId="24" fillId="5" borderId="106" xfId="0" applyFont="1" applyFill="1" applyBorder="1" applyAlignment="1">
      <alignment horizontal="center"/>
    </xf>
    <xf numFmtId="0" fontId="20" fillId="5" borderId="21" xfId="0" applyFont="1" applyFill="1" applyBorder="1" applyAlignment="1">
      <alignment horizontal="right"/>
    </xf>
    <xf numFmtId="0" fontId="11" fillId="5" borderId="0" xfId="0" applyFont="1" applyFill="1" applyAlignment="1">
      <alignment horizontal="right"/>
    </xf>
    <xf numFmtId="0" fontId="18" fillId="5" borderId="101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center"/>
    </xf>
    <xf numFmtId="0" fontId="10" fillId="5" borderId="42" xfId="0" applyFont="1" applyFill="1" applyBorder="1" applyAlignment="1">
      <alignment horizontal="center"/>
    </xf>
    <xf numFmtId="0" fontId="15" fillId="9" borderId="111" xfId="0" applyFont="1" applyFill="1" applyBorder="1" applyAlignment="1">
      <alignment horizontal="center" vertical="center" wrapText="1"/>
    </xf>
    <xf numFmtId="0" fontId="32" fillId="9" borderId="103" xfId="0" applyFont="1" applyFill="1" applyBorder="1" applyAlignment="1">
      <alignment horizontal="center" vertical="center" wrapText="1"/>
    </xf>
    <xf numFmtId="0" fontId="32" fillId="9" borderId="112" xfId="0" applyFont="1" applyFill="1" applyBorder="1" applyAlignment="1">
      <alignment horizontal="center" vertical="center" wrapText="1"/>
    </xf>
    <xf numFmtId="0" fontId="32" fillId="9" borderId="113" xfId="0" applyFont="1" applyFill="1" applyBorder="1" applyAlignment="1">
      <alignment horizontal="center" vertical="center" wrapText="1"/>
    </xf>
    <xf numFmtId="0" fontId="32" fillId="9" borderId="101" xfId="0" applyFont="1" applyFill="1" applyBorder="1" applyAlignment="1">
      <alignment horizontal="center" vertical="center" wrapText="1"/>
    </xf>
    <xf numFmtId="0" fontId="32" fillId="9" borderId="114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right" vertical="center"/>
    </xf>
    <xf numFmtId="0" fontId="35" fillId="34" borderId="43" xfId="0" applyFont="1" applyFill="1" applyBorder="1" applyAlignment="1">
      <alignment horizontal="center" vertical="center" wrapText="1"/>
    </xf>
    <xf numFmtId="0" fontId="75" fillId="34" borderId="55" xfId="0" applyFont="1" applyFill="1" applyBorder="1" applyAlignment="1">
      <alignment horizontal="center" vertical="center" wrapText="1"/>
    </xf>
    <xf numFmtId="0" fontId="75" fillId="34" borderId="40" xfId="0" applyFont="1" applyFill="1" applyBorder="1" applyAlignment="1">
      <alignment horizontal="center" vertical="center" wrapText="1"/>
    </xf>
    <xf numFmtId="0" fontId="15" fillId="16" borderId="55" xfId="0" applyFont="1" applyFill="1" applyBorder="1" applyAlignment="1">
      <alignment horizontal="center" vertical="center" textRotation="90" wrapText="1"/>
    </xf>
    <xf numFmtId="0" fontId="15" fillId="16" borderId="40" xfId="0" applyFont="1" applyFill="1" applyBorder="1" applyAlignment="1">
      <alignment horizontal="center" vertical="center" textRotation="90" wrapText="1"/>
    </xf>
    <xf numFmtId="0" fontId="15" fillId="16" borderId="67" xfId="0" applyFont="1" applyFill="1" applyBorder="1" applyAlignment="1">
      <alignment horizontal="center" vertical="center" textRotation="90" wrapText="1"/>
    </xf>
    <xf numFmtId="0" fontId="17" fillId="16" borderId="55" xfId="0" applyFont="1" applyFill="1" applyBorder="1" applyAlignment="1">
      <alignment horizontal="center" vertical="center" textRotation="90" wrapText="1"/>
    </xf>
    <xf numFmtId="0" fontId="17" fillId="16" borderId="40" xfId="0" applyFont="1" applyFill="1" applyBorder="1" applyAlignment="1">
      <alignment horizontal="center" vertical="center" textRotation="90" wrapText="1"/>
    </xf>
    <xf numFmtId="0" fontId="17" fillId="16" borderId="67" xfId="0" applyFont="1" applyFill="1" applyBorder="1" applyAlignment="1">
      <alignment horizontal="center" vertical="center" textRotation="90" wrapText="1"/>
    </xf>
    <xf numFmtId="0" fontId="10" fillId="5" borderId="30" xfId="0" applyFont="1" applyFill="1" applyBorder="1" applyAlignment="1">
      <alignment horizontal="center"/>
    </xf>
    <xf numFmtId="0" fontId="17" fillId="16" borderId="55" xfId="0" applyFont="1" applyFill="1" applyBorder="1" applyAlignment="1">
      <alignment horizontal="left" vertical="center" textRotation="90" wrapText="1"/>
    </xf>
    <xf numFmtId="0" fontId="17" fillId="16" borderId="40" xfId="0" applyFont="1" applyFill="1" applyBorder="1" applyAlignment="1">
      <alignment horizontal="left" vertical="center" textRotation="90" wrapText="1"/>
    </xf>
    <xf numFmtId="0" fontId="17" fillId="16" borderId="67" xfId="0" applyFont="1" applyFill="1" applyBorder="1" applyAlignment="1">
      <alignment horizontal="left" vertical="center" textRotation="90" wrapText="1"/>
    </xf>
    <xf numFmtId="0" fontId="43" fillId="16" borderId="55" xfId="0" applyFont="1" applyFill="1" applyBorder="1" applyAlignment="1">
      <alignment horizontal="center" vertical="center" textRotation="90" wrapText="1"/>
    </xf>
    <xf numFmtId="0" fontId="43" fillId="16" borderId="40" xfId="0" applyFont="1" applyFill="1" applyBorder="1" applyAlignment="1">
      <alignment horizontal="center" vertical="center" textRotation="90" wrapText="1"/>
    </xf>
    <xf numFmtId="0" fontId="43" fillId="16" borderId="67" xfId="0" applyFont="1" applyFill="1" applyBorder="1" applyAlignment="1">
      <alignment horizontal="center" vertical="center" textRotation="90" wrapText="1"/>
    </xf>
    <xf numFmtId="0" fontId="44" fillId="51" borderId="115" xfId="0" applyFont="1" applyFill="1" applyBorder="1" applyAlignment="1">
      <alignment horizontal="center" vertical="center"/>
    </xf>
    <xf numFmtId="0" fontId="44" fillId="51" borderId="96" xfId="0" applyFont="1" applyFill="1" applyBorder="1" applyAlignment="1">
      <alignment horizontal="center" vertical="center"/>
    </xf>
    <xf numFmtId="0" fontId="44" fillId="51" borderId="97" xfId="0" applyFont="1" applyFill="1" applyBorder="1" applyAlignment="1">
      <alignment horizontal="center" vertical="center"/>
    </xf>
    <xf numFmtId="0" fontId="35" fillId="52" borderId="12" xfId="0" applyFont="1" applyFill="1" applyBorder="1" applyAlignment="1">
      <alignment horizontal="center" vertical="center" wrapText="1"/>
    </xf>
    <xf numFmtId="0" fontId="35" fillId="52" borderId="70" xfId="0" applyFont="1" applyFill="1" applyBorder="1" applyAlignment="1">
      <alignment horizontal="center" vertical="center" wrapText="1"/>
    </xf>
    <xf numFmtId="0" fontId="35" fillId="34" borderId="55" xfId="0" applyFont="1" applyFill="1" applyBorder="1" applyAlignment="1">
      <alignment horizontal="center" vertical="center" wrapText="1"/>
    </xf>
    <xf numFmtId="0" fontId="35" fillId="34" borderId="40" xfId="0" applyFont="1" applyFill="1" applyBorder="1" applyAlignment="1">
      <alignment horizontal="center" vertical="center" wrapText="1"/>
    </xf>
    <xf numFmtId="0" fontId="35" fillId="34" borderId="67" xfId="0" applyFont="1" applyFill="1" applyBorder="1" applyAlignment="1">
      <alignment horizontal="center" vertical="center" wrapText="1"/>
    </xf>
    <xf numFmtId="0" fontId="35" fillId="34" borderId="113" xfId="0" applyFont="1" applyFill="1" applyBorder="1" applyAlignment="1">
      <alignment horizontal="center" vertical="center" wrapText="1"/>
    </xf>
    <xf numFmtId="0" fontId="35" fillId="34" borderId="101" xfId="0" applyFont="1" applyFill="1" applyBorder="1" applyAlignment="1">
      <alignment horizontal="center" vertical="center" wrapText="1"/>
    </xf>
    <xf numFmtId="0" fontId="35" fillId="42" borderId="12" xfId="0" applyFont="1" applyFill="1" applyBorder="1" applyAlignment="1">
      <alignment horizontal="center" vertical="center" wrapText="1"/>
    </xf>
    <xf numFmtId="0" fontId="35" fillId="42" borderId="48" xfId="0" applyFont="1" applyFill="1" applyBorder="1" applyAlignment="1">
      <alignment horizontal="center" vertical="center" wrapText="1"/>
    </xf>
    <xf numFmtId="0" fontId="35" fillId="45" borderId="48" xfId="0" applyFont="1" applyFill="1" applyBorder="1" applyAlignment="1">
      <alignment horizontal="center" vertical="center" wrapText="1"/>
    </xf>
    <xf numFmtId="0" fontId="35" fillId="50" borderId="48" xfId="0" applyFont="1" applyFill="1" applyBorder="1" applyAlignment="1">
      <alignment horizontal="center" vertical="center" wrapText="1"/>
    </xf>
    <xf numFmtId="0" fontId="35" fillId="50" borderId="70" xfId="0" applyFont="1" applyFill="1" applyBorder="1" applyAlignment="1">
      <alignment horizontal="center" vertical="center" wrapText="1"/>
    </xf>
    <xf numFmtId="0" fontId="35" fillId="44" borderId="12" xfId="0" applyFont="1" applyFill="1" applyBorder="1" applyAlignment="1">
      <alignment horizontal="center" vertical="center" wrapText="1"/>
    </xf>
    <xf numFmtId="0" fontId="35" fillId="44" borderId="48" xfId="0" applyFont="1" applyFill="1" applyBorder="1" applyAlignment="1">
      <alignment horizontal="center" vertical="center" wrapText="1"/>
    </xf>
    <xf numFmtId="0" fontId="35" fillId="41" borderId="48" xfId="0" applyFont="1" applyFill="1" applyBorder="1" applyAlignment="1">
      <alignment horizontal="center" vertical="center" wrapText="1"/>
    </xf>
    <xf numFmtId="0" fontId="15" fillId="16" borderId="43" xfId="0" applyFont="1" applyFill="1" applyBorder="1" applyAlignment="1">
      <alignment horizontal="right" vertical="center" wrapText="1"/>
    </xf>
    <xf numFmtId="0" fontId="10" fillId="56" borderId="177" xfId="0" applyFont="1" applyFill="1" applyBorder="1" applyAlignment="1">
      <alignment horizontal="justify" wrapText="1"/>
    </xf>
    <xf numFmtId="0" fontId="10" fillId="56" borderId="88" xfId="0" applyFont="1" applyFill="1" applyBorder="1" applyAlignment="1">
      <alignment horizontal="justify" wrapText="1"/>
    </xf>
    <xf numFmtId="0" fontId="10" fillId="56" borderId="178" xfId="0" applyFont="1" applyFill="1" applyBorder="1" applyAlignment="1">
      <alignment horizontal="justify" wrapText="1"/>
    </xf>
    <xf numFmtId="0" fontId="10" fillId="56" borderId="89" xfId="0" applyFont="1" applyFill="1" applyBorder="1" applyAlignment="1">
      <alignment horizontal="justify" wrapText="1"/>
    </xf>
    <xf numFmtId="0" fontId="10" fillId="56" borderId="179" xfId="0" applyFont="1" applyFill="1" applyBorder="1" applyAlignment="1">
      <alignment horizontal="justify" wrapText="1"/>
    </xf>
    <xf numFmtId="0" fontId="10" fillId="56" borderId="68" xfId="0" applyFont="1" applyFill="1" applyBorder="1" applyAlignment="1">
      <alignment horizontal="justify" wrapText="1"/>
    </xf>
    <xf numFmtId="0" fontId="14" fillId="0" borderId="83" xfId="0" applyFont="1" applyBorder="1" applyAlignment="1">
      <alignment horizontal="center" vertical="center"/>
    </xf>
    <xf numFmtId="0" fontId="13" fillId="34" borderId="65" xfId="0" applyFont="1" applyFill="1" applyBorder="1" applyAlignment="1">
      <alignment horizontal="left" vertical="center" wrapText="1" shrinkToFit="1"/>
    </xf>
    <xf numFmtId="0" fontId="13" fillId="34" borderId="122" xfId="0" applyFont="1" applyFill="1" applyBorder="1" applyAlignment="1">
      <alignment horizontal="left" vertical="center" wrapText="1"/>
    </xf>
    <xf numFmtId="0" fontId="38" fillId="34" borderId="72" xfId="0" applyFont="1" applyFill="1" applyBorder="1" applyAlignment="1">
      <alignment horizontal="center" vertical="center" shrinkToFit="1"/>
    </xf>
    <xf numFmtId="0" fontId="38" fillId="34" borderId="72" xfId="0" applyFont="1" applyFill="1" applyBorder="1" applyAlignment="1">
      <alignment horizontal="center" vertical="center" wrapText="1" shrinkToFit="1"/>
    </xf>
    <xf numFmtId="0" fontId="14" fillId="0" borderId="83" xfId="0" applyFont="1" applyBorder="1" applyAlignment="1">
      <alignment horizontal="center" vertical="center" wrapText="1"/>
    </xf>
    <xf numFmtId="0" fontId="38" fillId="34" borderId="85" xfId="0" applyFont="1" applyFill="1" applyBorder="1" applyAlignment="1">
      <alignment horizontal="center" vertical="center" wrapText="1" shrinkToFit="1"/>
    </xf>
    <xf numFmtId="0" fontId="38" fillId="34" borderId="86" xfId="0" applyFont="1" applyFill="1" applyBorder="1" applyAlignment="1">
      <alignment horizontal="center" vertical="center" wrapText="1" shrinkToFit="1"/>
    </xf>
    <xf numFmtId="0" fontId="38" fillId="34" borderId="87" xfId="0" applyFont="1" applyFill="1" applyBorder="1" applyAlignment="1">
      <alignment horizontal="center" vertical="center" wrapText="1" shrinkToFit="1"/>
    </xf>
    <xf numFmtId="0" fontId="13" fillId="34" borderId="43" xfId="0" applyFont="1" applyFill="1" applyBorder="1" applyAlignment="1">
      <alignment horizontal="center" vertical="center" wrapText="1"/>
    </xf>
    <xf numFmtId="0" fontId="13" fillId="34" borderId="123" xfId="0" applyFont="1" applyFill="1" applyBorder="1" applyAlignment="1">
      <alignment horizontal="center"/>
    </xf>
    <xf numFmtId="0" fontId="10" fillId="9" borderId="45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3" borderId="44" xfId="0" applyFont="1" applyFill="1" applyBorder="1" applyAlignment="1">
      <alignment horizontal="left" vertical="center"/>
    </xf>
    <xf numFmtId="0" fontId="10" fillId="54" borderId="44" xfId="0" applyFont="1" applyFill="1" applyBorder="1" applyAlignment="1">
      <alignment horizontal="left" vertical="center"/>
    </xf>
    <xf numFmtId="0" fontId="10" fillId="9" borderId="44" xfId="0" applyFont="1" applyFill="1" applyBorder="1" applyAlignment="1">
      <alignment horizontal="left" vertical="center"/>
    </xf>
    <xf numFmtId="0" fontId="13" fillId="34" borderId="44" xfId="0" applyFont="1" applyFill="1" applyBorder="1" applyAlignment="1">
      <alignment horizontal="center"/>
    </xf>
    <xf numFmtId="0" fontId="62" fillId="0" borderId="133" xfId="0" applyFont="1" applyBorder="1" applyAlignment="1">
      <alignment horizontal="center" vertical="center" wrapText="1"/>
    </xf>
    <xf numFmtId="0" fontId="62" fillId="0" borderId="124" xfId="0" applyFont="1" applyBorder="1" applyAlignment="1">
      <alignment horizontal="center" vertical="center" wrapText="1"/>
    </xf>
    <xf numFmtId="0" fontId="56" fillId="38" borderId="135" xfId="0" applyFont="1" applyFill="1" applyBorder="1" applyAlignment="1">
      <alignment horizontal="center" vertical="center" wrapText="1"/>
    </xf>
    <xf numFmtId="0" fontId="56" fillId="38" borderId="11" xfId="0" applyFont="1" applyFill="1" applyBorder="1" applyAlignment="1">
      <alignment horizontal="center" vertical="center" wrapText="1"/>
    </xf>
    <xf numFmtId="0" fontId="62" fillId="0" borderId="93" xfId="0" applyFont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 wrapText="1"/>
    </xf>
    <xf numFmtId="0" fontId="15" fillId="16" borderId="48" xfId="0" applyFont="1" applyFill="1" applyBorder="1" applyAlignment="1">
      <alignment horizontal="center" vertical="center" wrapText="1"/>
    </xf>
    <xf numFmtId="0" fontId="15" fillId="16" borderId="70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/>
    </xf>
    <xf numFmtId="0" fontId="10" fillId="5" borderId="134" xfId="0" applyFont="1" applyFill="1" applyBorder="1" applyAlignment="1">
      <alignment horizontal="center"/>
    </xf>
    <xf numFmtId="0" fontId="57" fillId="0" borderId="83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 wrapText="1"/>
    </xf>
    <xf numFmtId="0" fontId="62" fillId="0" borderId="77" xfId="0" applyFont="1" applyBorder="1" applyAlignment="1">
      <alignment horizontal="center" vertical="center" wrapText="1"/>
    </xf>
    <xf numFmtId="0" fontId="55" fillId="0" borderId="78" xfId="0" applyFont="1" applyBorder="1" applyAlignment="1">
      <alignment horizontal="center" vertical="center" wrapText="1"/>
    </xf>
    <xf numFmtId="0" fontId="55" fillId="0" borderId="79" xfId="0" applyFont="1" applyBorder="1" applyAlignment="1">
      <alignment horizontal="center" vertical="center" wrapText="1"/>
    </xf>
    <xf numFmtId="0" fontId="55" fillId="0" borderId="80" xfId="0" applyFont="1" applyBorder="1" applyAlignment="1">
      <alignment horizontal="center" vertical="center" wrapText="1"/>
    </xf>
    <xf numFmtId="0" fontId="55" fillId="0" borderId="125" xfId="0" applyFont="1" applyBorder="1" applyAlignment="1">
      <alignment horizontal="center" vertical="center" wrapText="1"/>
    </xf>
    <xf numFmtId="0" fontId="55" fillId="0" borderId="126" xfId="0" applyFont="1" applyBorder="1" applyAlignment="1">
      <alignment horizontal="center" vertical="center" wrapText="1"/>
    </xf>
    <xf numFmtId="0" fontId="55" fillId="0" borderId="127" xfId="0" applyFont="1" applyBorder="1" applyAlignment="1">
      <alignment horizontal="center" vertical="center" wrapText="1"/>
    </xf>
    <xf numFmtId="0" fontId="62" fillId="0" borderId="128" xfId="0" applyFont="1" applyBorder="1" applyAlignment="1">
      <alignment horizontal="center" vertical="center" wrapText="1"/>
    </xf>
    <xf numFmtId="0" fontId="62" fillId="0" borderId="129" xfId="0" applyFont="1" applyBorder="1" applyAlignment="1">
      <alignment horizontal="center" vertical="center" wrapText="1"/>
    </xf>
    <xf numFmtId="0" fontId="55" fillId="0" borderId="130" xfId="0" applyFont="1" applyBorder="1" applyAlignment="1">
      <alignment horizontal="center" vertical="center" wrapText="1"/>
    </xf>
    <xf numFmtId="0" fontId="55" fillId="0" borderId="131" xfId="0" applyFont="1" applyBorder="1" applyAlignment="1">
      <alignment horizontal="center" vertical="center" wrapText="1"/>
    </xf>
    <xf numFmtId="0" fontId="55" fillId="0" borderId="132" xfId="0" applyFont="1" applyBorder="1" applyAlignment="1">
      <alignment horizontal="center" vertical="center" wrapText="1"/>
    </xf>
    <xf numFmtId="0" fontId="55" fillId="0" borderId="92" xfId="0" applyFont="1" applyBorder="1" applyAlignment="1">
      <alignment horizontal="center" vertical="center" wrapText="1"/>
    </xf>
    <xf numFmtId="0" fontId="35" fillId="34" borderId="52" xfId="0" applyFont="1" applyFill="1" applyBorder="1" applyAlignment="1">
      <alignment horizontal="left" vertical="center" wrapText="1"/>
    </xf>
    <xf numFmtId="0" fontId="17" fillId="9" borderId="19" xfId="0" applyFont="1" applyFill="1" applyBorder="1" applyAlignment="1">
      <alignment horizontal="left" vertical="top" wrapText="1"/>
    </xf>
    <xf numFmtId="0" fontId="10" fillId="5" borderId="0" xfId="0" applyFont="1" applyFill="1" applyAlignment="1">
      <alignment horizontal="center" vertical="top" wrapText="1"/>
    </xf>
    <xf numFmtId="0" fontId="10" fillId="5" borderId="107" xfId="0" applyFont="1" applyFill="1" applyBorder="1" applyAlignment="1">
      <alignment horizontal="center" vertical="top" wrapText="1"/>
    </xf>
    <xf numFmtId="0" fontId="15" fillId="16" borderId="25" xfId="0" applyFont="1" applyFill="1" applyBorder="1" applyAlignment="1">
      <alignment horizontal="center" vertical="top" wrapText="1"/>
    </xf>
    <xf numFmtId="0" fontId="10" fillId="9" borderId="19" xfId="0" applyFont="1" applyFill="1" applyBorder="1" applyAlignment="1">
      <alignment horizontal="center" vertical="top" wrapText="1"/>
    </xf>
    <xf numFmtId="0" fontId="10" fillId="5" borderId="108" xfId="0" applyFont="1" applyFill="1" applyBorder="1" applyAlignment="1">
      <alignment horizontal="center" vertical="top" wrapText="1"/>
    </xf>
    <xf numFmtId="0" fontId="35" fillId="34" borderId="52" xfId="0" applyFont="1" applyFill="1" applyBorder="1" applyAlignment="1">
      <alignment horizontal="left" vertical="top" wrapText="1"/>
    </xf>
    <xf numFmtId="0" fontId="35" fillId="34" borderId="136" xfId="0" applyFont="1" applyFill="1" applyBorder="1" applyAlignment="1">
      <alignment horizontal="center" vertical="top" textRotation="90" wrapText="1"/>
    </xf>
    <xf numFmtId="0" fontId="15" fillId="16" borderId="25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left" vertical="top" wrapText="1"/>
    </xf>
    <xf numFmtId="0" fontId="25" fillId="5" borderId="50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/>
    </xf>
    <xf numFmtId="0" fontId="70" fillId="9" borderId="28" xfId="0" applyFont="1" applyFill="1" applyBorder="1" applyAlignment="1">
      <alignment horizontal="center"/>
    </xf>
    <xf numFmtId="0" fontId="70" fillId="9" borderId="26" xfId="0" applyFont="1" applyFill="1" applyBorder="1" applyAlignment="1">
      <alignment horizontal="center"/>
    </xf>
    <xf numFmtId="0" fontId="70" fillId="9" borderId="29" xfId="0" applyFont="1" applyFill="1" applyBorder="1" applyAlignment="1">
      <alignment horizontal="center"/>
    </xf>
    <xf numFmtId="0" fontId="17" fillId="16" borderId="19" xfId="0" applyFont="1" applyFill="1" applyBorder="1" applyAlignment="1">
      <alignment horizontal="center" vertical="top" wrapText="1"/>
    </xf>
    <xf numFmtId="0" fontId="10" fillId="9" borderId="19" xfId="0" applyFont="1" applyFill="1" applyBorder="1" applyAlignment="1">
      <alignment vertical="center" wrapText="1"/>
    </xf>
    <xf numFmtId="49" fontId="10" fillId="9" borderId="19" xfId="0" applyNumberFormat="1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left" vertical="center" wrapText="1"/>
    </xf>
    <xf numFmtId="0" fontId="10" fillId="5" borderId="107" xfId="0" applyFont="1" applyFill="1" applyBorder="1" applyAlignment="1">
      <alignment horizontal="center" vertical="center" wrapText="1"/>
    </xf>
    <xf numFmtId="0" fontId="10" fillId="5" borderId="108" xfId="0" applyFont="1" applyFill="1" applyBorder="1" applyAlignment="1">
      <alignment horizontal="center" vertical="center" wrapText="1"/>
    </xf>
    <xf numFmtId="0" fontId="10" fillId="9" borderId="106" xfId="0" applyFont="1" applyFill="1" applyBorder="1" applyAlignment="1">
      <alignment horizontal="left"/>
    </xf>
    <xf numFmtId="0" fontId="10" fillId="9" borderId="140" xfId="0" applyFont="1" applyFill="1" applyBorder="1" applyAlignment="1">
      <alignment horizontal="left" vertical="center" wrapText="1"/>
    </xf>
    <xf numFmtId="0" fontId="10" fillId="9" borderId="141" xfId="0" applyFont="1" applyFill="1" applyBorder="1" applyAlignment="1">
      <alignment horizontal="left"/>
    </xf>
    <xf numFmtId="0" fontId="10" fillId="9" borderId="142" xfId="0" applyFont="1" applyFill="1" applyBorder="1" applyAlignment="1">
      <alignment horizontal="left" vertical="center" wrapText="1"/>
    </xf>
    <xf numFmtId="0" fontId="10" fillId="9" borderId="138" xfId="0" applyFont="1" applyFill="1" applyBorder="1" applyAlignment="1">
      <alignment horizontal="left"/>
    </xf>
    <xf numFmtId="0" fontId="10" fillId="9" borderId="139" xfId="0" applyFont="1" applyFill="1" applyBorder="1" applyAlignment="1">
      <alignment horizontal="left" vertical="center" wrapText="1"/>
    </xf>
    <xf numFmtId="0" fontId="10" fillId="9" borderId="19" xfId="0" applyFont="1" applyFill="1" applyBorder="1" applyAlignment="1">
      <alignment vertical="top" wrapText="1"/>
    </xf>
    <xf numFmtId="0" fontId="10" fillId="9" borderId="19" xfId="0" applyFont="1" applyFill="1" applyBorder="1" applyAlignment="1">
      <alignment horizontal="center"/>
    </xf>
    <xf numFmtId="0" fontId="10" fillId="5" borderId="137" xfId="0" applyFont="1" applyFill="1" applyBorder="1" applyAlignment="1">
      <alignment horizontal="center"/>
    </xf>
    <xf numFmtId="0" fontId="62" fillId="0" borderId="93" xfId="0" applyFont="1" applyBorder="1" applyAlignment="1">
      <alignment vertical="center" wrapText="1"/>
    </xf>
    <xf numFmtId="0" fontId="62" fillId="0" borderId="83" xfId="0" applyFont="1" applyBorder="1" applyAlignment="1">
      <alignment horizontal="center" vertical="center" wrapText="1"/>
    </xf>
  </cellXfs>
  <cellStyles count="70">
    <cellStyle name="20% - Ênfase1 2" xfId="1" xr:uid="{00000000-0005-0000-0000-000000000000}"/>
    <cellStyle name="20% - Ênfase2 2" xfId="2" xr:uid="{00000000-0005-0000-0000-000001000000}"/>
    <cellStyle name="20% - Ênfase3 2" xfId="3" xr:uid="{00000000-0005-0000-0000-000002000000}"/>
    <cellStyle name="20% - Ênfase4 2" xfId="4" xr:uid="{00000000-0005-0000-0000-000003000000}"/>
    <cellStyle name="20% - Ênfase5 2" xfId="5" xr:uid="{00000000-0005-0000-0000-000004000000}"/>
    <cellStyle name="20% - Ênfase6 2" xfId="6" xr:uid="{00000000-0005-0000-0000-000005000000}"/>
    <cellStyle name="40% - Ênfase1 2" xfId="7" xr:uid="{00000000-0005-0000-0000-000006000000}"/>
    <cellStyle name="40% - Ênfase2 2" xfId="8" xr:uid="{00000000-0005-0000-0000-000007000000}"/>
    <cellStyle name="40% - Ênfase3 2" xfId="9" xr:uid="{00000000-0005-0000-0000-000008000000}"/>
    <cellStyle name="40% - Ênfase4 2" xfId="10" xr:uid="{00000000-0005-0000-0000-000009000000}"/>
    <cellStyle name="40% - Ênfase5 2" xfId="11" xr:uid="{00000000-0005-0000-0000-00000A000000}"/>
    <cellStyle name="40% - Ênfase6 2" xfId="12" xr:uid="{00000000-0005-0000-0000-00000B000000}"/>
    <cellStyle name="60% - Ênfase1 2" xfId="13" xr:uid="{00000000-0005-0000-0000-00000C000000}"/>
    <cellStyle name="60% - Ênfase2 2" xfId="14" xr:uid="{00000000-0005-0000-0000-00000D000000}"/>
    <cellStyle name="60% - Ênfase3 2" xfId="15" xr:uid="{00000000-0005-0000-0000-00000E000000}"/>
    <cellStyle name="60% - Ênfase4 2" xfId="16" xr:uid="{00000000-0005-0000-0000-00000F000000}"/>
    <cellStyle name="60% - Ênfase5 2" xfId="17" xr:uid="{00000000-0005-0000-0000-000010000000}"/>
    <cellStyle name="60% - Ênfase6 2" xfId="18" xr:uid="{00000000-0005-0000-0000-000011000000}"/>
    <cellStyle name="Bom 2" xfId="19" xr:uid="{00000000-0005-0000-0000-000012000000}"/>
    <cellStyle name="Cálculo 2" xfId="20" xr:uid="{00000000-0005-0000-0000-000013000000}"/>
    <cellStyle name="Célula de Verificação 2" xfId="21" xr:uid="{00000000-0005-0000-0000-000014000000}"/>
    <cellStyle name="Ênfase1 2" xfId="22" xr:uid="{00000000-0005-0000-0000-000015000000}"/>
    <cellStyle name="Ênfase2 2" xfId="23" xr:uid="{00000000-0005-0000-0000-000016000000}"/>
    <cellStyle name="Ênfase3 2" xfId="24" xr:uid="{00000000-0005-0000-0000-000017000000}"/>
    <cellStyle name="Ênfase4 2" xfId="25" xr:uid="{00000000-0005-0000-0000-000018000000}"/>
    <cellStyle name="Ênfase5 2" xfId="26" xr:uid="{00000000-0005-0000-0000-000019000000}"/>
    <cellStyle name="Ênfase6 2" xfId="27" xr:uid="{00000000-0005-0000-0000-00001A000000}"/>
    <cellStyle name="Entrada 2" xfId="28" xr:uid="{00000000-0005-0000-0000-00001B000000}"/>
    <cellStyle name="Euro" xfId="29" xr:uid="{00000000-0005-0000-0000-00001C000000}"/>
    <cellStyle name="Hiperlink" xfId="69" builtinId="8"/>
    <cellStyle name="Incorreto 2" xfId="30" xr:uid="{00000000-0005-0000-0000-00001D000000}"/>
    <cellStyle name="Moeda 2" xfId="31" xr:uid="{00000000-0005-0000-0000-00001E000000}"/>
    <cellStyle name="Moeda 2 2" xfId="32" xr:uid="{00000000-0005-0000-0000-00001F000000}"/>
    <cellStyle name="Moeda 2_Planejamento Processo Eletrônico" xfId="33" xr:uid="{00000000-0005-0000-0000-000020000000}"/>
    <cellStyle name="Neutra 2" xfId="34" xr:uid="{00000000-0005-0000-0000-000021000000}"/>
    <cellStyle name="Normal" xfId="0" builtinId="0"/>
    <cellStyle name="Normal 2" xfId="35" xr:uid="{00000000-0005-0000-0000-000023000000}"/>
    <cellStyle name="Normal 2 2" xfId="36" xr:uid="{00000000-0005-0000-0000-000024000000}"/>
    <cellStyle name="Normal 2 3" xfId="37" xr:uid="{00000000-0005-0000-0000-000025000000}"/>
    <cellStyle name="Normal 2_Planejamento Processo Eletrônico" xfId="38" xr:uid="{00000000-0005-0000-0000-000026000000}"/>
    <cellStyle name="Normal 3" xfId="39" xr:uid="{00000000-0005-0000-0000-000027000000}"/>
    <cellStyle name="Normal 4" xfId="40" xr:uid="{00000000-0005-0000-0000-000028000000}"/>
    <cellStyle name="Normal 5" xfId="41" xr:uid="{00000000-0005-0000-0000-000029000000}"/>
    <cellStyle name="Nota 2" xfId="42" xr:uid="{00000000-0005-0000-0000-00002A000000}"/>
    <cellStyle name="Porcentagem 2" xfId="43" xr:uid="{00000000-0005-0000-0000-00002B000000}"/>
    <cellStyle name="Porcentagem 2 2" xfId="44" xr:uid="{00000000-0005-0000-0000-00002C000000}"/>
    <cellStyle name="Porcentagem 2_Planejamento Processo Eletrônico" xfId="45" xr:uid="{00000000-0005-0000-0000-00002D000000}"/>
    <cellStyle name="Porcentagem 3" xfId="46" xr:uid="{00000000-0005-0000-0000-00002E000000}"/>
    <cellStyle name="Saída 2" xfId="47" xr:uid="{00000000-0005-0000-0000-00002F000000}"/>
    <cellStyle name="SAPBEXaggData" xfId="48" xr:uid="{00000000-0005-0000-0000-000030000000}"/>
    <cellStyle name="SAPBEXaggItem" xfId="49" xr:uid="{00000000-0005-0000-0000-000031000000}"/>
    <cellStyle name="SAPBEXbackground" xfId="50" xr:uid="{00000000-0005-0000-0000-000032000000}"/>
    <cellStyle name="SAPBEXexcBad9" xfId="51" xr:uid="{00000000-0005-0000-0000-000033000000}"/>
    <cellStyle name="SAPBEXexcGood1" xfId="52" xr:uid="{00000000-0005-0000-0000-000034000000}"/>
    <cellStyle name="SAPBEXstdData" xfId="53" xr:uid="{00000000-0005-0000-0000-000035000000}"/>
    <cellStyle name="Separador de milhares 2" xfId="54" xr:uid="{00000000-0005-0000-0000-000036000000}"/>
    <cellStyle name="Separador de milhares 2 2" xfId="55" xr:uid="{00000000-0005-0000-0000-000037000000}"/>
    <cellStyle name="Separador de milhares 2_Planejamento Processo Eletrônico" xfId="56" xr:uid="{00000000-0005-0000-0000-000038000000}"/>
    <cellStyle name="Título 1 1" xfId="57" xr:uid="{00000000-0005-0000-0000-000039000000}"/>
    <cellStyle name="Título 1 1 1" xfId="58" xr:uid="{00000000-0005-0000-0000-00003A000000}"/>
    <cellStyle name="Título 1 1 1 1" xfId="59" xr:uid="{00000000-0005-0000-0000-00003B000000}"/>
    <cellStyle name="Título 1 1_3. Monitoramento" xfId="60" xr:uid="{00000000-0005-0000-0000-00003C000000}"/>
    <cellStyle name="Título 1 2" xfId="61" xr:uid="{00000000-0005-0000-0000-00003D000000}"/>
    <cellStyle name="Título 2 2" xfId="62" xr:uid="{00000000-0005-0000-0000-00003E000000}"/>
    <cellStyle name="Título 3 2" xfId="63" xr:uid="{00000000-0005-0000-0000-00003F000000}"/>
    <cellStyle name="Título 4 2" xfId="64" xr:uid="{00000000-0005-0000-0000-000040000000}"/>
    <cellStyle name="Título 5" xfId="65" xr:uid="{00000000-0005-0000-0000-000041000000}"/>
    <cellStyle name="Título 6" xfId="66" xr:uid="{00000000-0005-0000-0000-000042000000}"/>
    <cellStyle name="Total" xfId="67" builtinId="25" customBuiltin="1"/>
    <cellStyle name="Total 2" xfId="68" xr:uid="{00000000-0005-0000-0000-000044000000}"/>
  </cellStyles>
  <dxfs count="7">
    <dxf>
      <fill>
        <patternFill patternType="solid">
          <fgColor indexed="60"/>
          <bgColor indexed="10"/>
        </patternFill>
      </fill>
    </dxf>
    <dxf>
      <fill>
        <patternFill patternType="solid">
          <fgColor indexed="30"/>
          <bgColor indexed="48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0"/>
          <bgColor rgb="FF3333FF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34"/>
          <bgColor rgb="FF00B050"/>
        </patternFill>
      </fill>
    </dxf>
    <dxf>
      <fill>
        <patternFill patternType="solid">
          <fgColor indexed="9"/>
          <bgColor rgb="FF3333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AECC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FDFD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DF7E7"/>
      <rgbColor rgb="00DCE5DB"/>
      <rgbColor rgb="00FFFF99"/>
      <rgbColor rgb="0099CCFF"/>
      <rgbColor rgb="00FF99CC"/>
      <rgbColor rgb="00CC99FF"/>
      <rgbColor rgb="00FFCC99"/>
      <rgbColor rgb="003366FF"/>
      <rgbColor rgb="0033CCCC"/>
      <rgbColor rgb="00A1B67C"/>
      <rgbColor rgb="00FFCC00"/>
      <rgbColor rgb="00FF9900"/>
      <rgbColor rgb="00FF6600"/>
      <rgbColor rgb="00666699"/>
      <rgbColor rgb="00969696"/>
      <rgbColor rgb="00003366"/>
      <rgbColor rgb="005B7557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FA1F857-1465-49B2-BF65-C61FA18BDFBE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CC8AFE17-E51A-401A-9603-0D4983FF2551}">
      <dgm:prSet phldrT="[Texto]"/>
      <dgm:spPr/>
      <dgm:t>
        <a:bodyPr/>
        <a:lstStyle/>
        <a:p>
          <a:r>
            <a:rPr lang="en-US"/>
            <a:t>Vertex Londrina 360</a:t>
          </a:r>
        </a:p>
      </dgm:t>
    </dgm:pt>
    <dgm:pt modelId="{B3E7A1B8-96ED-4378-A923-D6DC797C2CCB}" type="parTrans" cxnId="{9752454B-1376-4F91-83EF-314D9F79D6A9}">
      <dgm:prSet/>
      <dgm:spPr/>
      <dgm:t>
        <a:bodyPr/>
        <a:lstStyle/>
        <a:p>
          <a:endParaRPr lang="en-US"/>
        </a:p>
      </dgm:t>
    </dgm:pt>
    <dgm:pt modelId="{F1025ABE-9FBC-4462-8AB1-F3B17202D452}" type="sibTrans" cxnId="{9752454B-1376-4F91-83EF-314D9F79D6A9}">
      <dgm:prSet/>
      <dgm:spPr/>
      <dgm:t>
        <a:bodyPr/>
        <a:lstStyle/>
        <a:p>
          <a:endParaRPr lang="en-US"/>
        </a:p>
      </dgm:t>
    </dgm:pt>
    <dgm:pt modelId="{6B9F40C9-8F71-4C58-8A0C-CB307414309B}">
      <dgm:prSet phldrT="[Texto]"/>
      <dgm:spPr/>
      <dgm:t>
        <a:bodyPr/>
        <a:lstStyle/>
        <a:p>
          <a:r>
            <a:rPr lang="en-US"/>
            <a:t>Planejamento</a:t>
          </a:r>
        </a:p>
      </dgm:t>
    </dgm:pt>
    <dgm:pt modelId="{E6CCCBEF-B2BC-49EE-9AD3-B8D0B6BC2CF9}" type="parTrans" cxnId="{2854F238-3DB1-4CAE-B81A-5C4E8D0D00C0}">
      <dgm:prSet/>
      <dgm:spPr/>
      <dgm:t>
        <a:bodyPr/>
        <a:lstStyle/>
        <a:p>
          <a:endParaRPr lang="en-US"/>
        </a:p>
      </dgm:t>
    </dgm:pt>
    <dgm:pt modelId="{354EEE01-EE9F-4A6B-9CF7-0BC47AF297DB}" type="sibTrans" cxnId="{2854F238-3DB1-4CAE-B81A-5C4E8D0D00C0}">
      <dgm:prSet/>
      <dgm:spPr/>
      <dgm:t>
        <a:bodyPr/>
        <a:lstStyle/>
        <a:p>
          <a:endParaRPr lang="en-US"/>
        </a:p>
      </dgm:t>
    </dgm:pt>
    <dgm:pt modelId="{CFF4E675-99F0-476A-A4EF-B0CBDA2F17C2}">
      <dgm:prSet phldrT="[Texto]"/>
      <dgm:spPr/>
      <dgm:t>
        <a:bodyPr/>
        <a:lstStyle/>
        <a:p>
          <a:r>
            <a:rPr lang="en-US"/>
            <a:t>Controle</a:t>
          </a:r>
        </a:p>
      </dgm:t>
    </dgm:pt>
    <dgm:pt modelId="{F3C42B2E-5AD0-441C-B8DF-BF654F005B29}" type="parTrans" cxnId="{817D6F58-8DE2-40D2-A67B-CC39F8933711}">
      <dgm:prSet/>
      <dgm:spPr/>
      <dgm:t>
        <a:bodyPr/>
        <a:lstStyle/>
        <a:p>
          <a:endParaRPr lang="en-US"/>
        </a:p>
      </dgm:t>
    </dgm:pt>
    <dgm:pt modelId="{B4F70C0E-A1C4-4DE9-9DFD-198821C87292}" type="sibTrans" cxnId="{817D6F58-8DE2-40D2-A67B-CC39F8933711}">
      <dgm:prSet/>
      <dgm:spPr/>
      <dgm:t>
        <a:bodyPr/>
        <a:lstStyle/>
        <a:p>
          <a:endParaRPr lang="en-US"/>
        </a:p>
      </dgm:t>
    </dgm:pt>
    <dgm:pt modelId="{F0F8D1A4-E062-4713-9584-64AD89115A5D}">
      <dgm:prSet phldrT="[Texto]"/>
      <dgm:spPr/>
      <dgm:t>
        <a:bodyPr/>
        <a:lstStyle/>
        <a:p>
          <a:r>
            <a:rPr lang="en-US"/>
            <a:t>Encerramento</a:t>
          </a:r>
        </a:p>
      </dgm:t>
    </dgm:pt>
    <dgm:pt modelId="{73BDD3C4-131F-42BC-A541-038E01CFB895}" type="parTrans" cxnId="{F74FA426-89D5-44EB-8370-47A97C504665}">
      <dgm:prSet/>
      <dgm:spPr/>
      <dgm:t>
        <a:bodyPr/>
        <a:lstStyle/>
        <a:p>
          <a:endParaRPr lang="en-US"/>
        </a:p>
      </dgm:t>
    </dgm:pt>
    <dgm:pt modelId="{18EEF62A-6402-4534-9D4C-FEA8E2552164}" type="sibTrans" cxnId="{F74FA426-89D5-44EB-8370-47A97C504665}">
      <dgm:prSet/>
      <dgm:spPr/>
      <dgm:t>
        <a:bodyPr/>
        <a:lstStyle/>
        <a:p>
          <a:endParaRPr lang="en-US"/>
        </a:p>
      </dgm:t>
    </dgm:pt>
    <dgm:pt modelId="{CA8F54AE-A955-45C5-B3C0-4E5A3D44BC10}">
      <dgm:prSet/>
      <dgm:spPr/>
      <dgm:t>
        <a:bodyPr/>
        <a:lstStyle/>
        <a:p>
          <a:r>
            <a:rPr lang="en-US"/>
            <a:t>Documentação Inicial</a:t>
          </a:r>
        </a:p>
      </dgm:t>
    </dgm:pt>
    <dgm:pt modelId="{67A7012E-7138-4603-8BD4-427F8C544CD3}" type="parTrans" cxnId="{C3FFCD78-3D98-45FB-ACAC-E4DD3153DD7D}">
      <dgm:prSet/>
      <dgm:spPr/>
      <dgm:t>
        <a:bodyPr/>
        <a:lstStyle/>
        <a:p>
          <a:endParaRPr lang="en-US"/>
        </a:p>
      </dgm:t>
    </dgm:pt>
    <dgm:pt modelId="{4E95699A-46A5-4637-A618-CE9E4E75861A}" type="sibTrans" cxnId="{C3FFCD78-3D98-45FB-ACAC-E4DD3153DD7D}">
      <dgm:prSet/>
      <dgm:spPr/>
      <dgm:t>
        <a:bodyPr/>
        <a:lstStyle/>
        <a:p>
          <a:endParaRPr lang="en-US"/>
        </a:p>
      </dgm:t>
    </dgm:pt>
    <dgm:pt modelId="{0FB60897-1D23-4E70-B4AD-B102F2022EC0}">
      <dgm:prSet/>
      <dgm:spPr/>
      <dgm:t>
        <a:bodyPr/>
        <a:lstStyle/>
        <a:p>
          <a:r>
            <a:rPr lang="en-US"/>
            <a:t>Planos de Gerenciamento</a:t>
          </a:r>
        </a:p>
      </dgm:t>
    </dgm:pt>
    <dgm:pt modelId="{153A550F-586C-4B08-B51E-7F9466A3874F}" type="parTrans" cxnId="{558CC8C6-C274-439C-B363-A9218E20B4AC}">
      <dgm:prSet/>
      <dgm:spPr/>
      <dgm:t>
        <a:bodyPr/>
        <a:lstStyle/>
        <a:p>
          <a:endParaRPr lang="en-US"/>
        </a:p>
      </dgm:t>
    </dgm:pt>
    <dgm:pt modelId="{32C821F7-6A46-40B5-84EC-15F0D9B658CB}" type="sibTrans" cxnId="{558CC8C6-C274-439C-B363-A9218E20B4AC}">
      <dgm:prSet/>
      <dgm:spPr/>
      <dgm:t>
        <a:bodyPr/>
        <a:lstStyle/>
        <a:p>
          <a:endParaRPr lang="en-US"/>
        </a:p>
      </dgm:t>
    </dgm:pt>
    <dgm:pt modelId="{CEA1188F-7128-41D8-829F-50805DFADED3}">
      <dgm:prSet/>
      <dgm:spPr/>
      <dgm:t>
        <a:bodyPr/>
        <a:lstStyle/>
        <a:p>
          <a:r>
            <a:rPr lang="en-US"/>
            <a:t>Declaração de Escopo</a:t>
          </a:r>
        </a:p>
      </dgm:t>
    </dgm:pt>
    <dgm:pt modelId="{1D14EEEF-7CBE-4FDD-830E-1251E5A69C75}" type="parTrans" cxnId="{B83C7766-3A79-4130-AB67-C06B42E982CA}">
      <dgm:prSet/>
      <dgm:spPr/>
      <dgm:t>
        <a:bodyPr/>
        <a:lstStyle/>
        <a:p>
          <a:endParaRPr lang="en-US"/>
        </a:p>
      </dgm:t>
    </dgm:pt>
    <dgm:pt modelId="{6142C1FE-667C-4122-A937-809FE2816F87}" type="sibTrans" cxnId="{B83C7766-3A79-4130-AB67-C06B42E982CA}">
      <dgm:prSet/>
      <dgm:spPr/>
      <dgm:t>
        <a:bodyPr/>
        <a:lstStyle/>
        <a:p>
          <a:endParaRPr lang="en-US"/>
        </a:p>
      </dgm:t>
    </dgm:pt>
    <dgm:pt modelId="{77DEB8B3-ECFE-4592-A9BE-B441FC27D24B}">
      <dgm:prSet/>
      <dgm:spPr/>
      <dgm:t>
        <a:bodyPr/>
        <a:lstStyle/>
        <a:p>
          <a:r>
            <a:rPr lang="en-US"/>
            <a:t>Cronograma</a:t>
          </a:r>
        </a:p>
      </dgm:t>
    </dgm:pt>
    <dgm:pt modelId="{24D0B328-6368-48D0-8CFE-F39AB01BAE25}" type="parTrans" cxnId="{A079AA71-B68E-4C92-8731-3C62C6B70105}">
      <dgm:prSet/>
      <dgm:spPr/>
      <dgm:t>
        <a:bodyPr/>
        <a:lstStyle/>
        <a:p>
          <a:endParaRPr lang="en-US"/>
        </a:p>
      </dgm:t>
    </dgm:pt>
    <dgm:pt modelId="{703BEF27-9B7A-4FA6-9B42-80E2A94602B1}" type="sibTrans" cxnId="{A079AA71-B68E-4C92-8731-3C62C6B70105}">
      <dgm:prSet/>
      <dgm:spPr/>
      <dgm:t>
        <a:bodyPr/>
        <a:lstStyle/>
        <a:p>
          <a:endParaRPr lang="en-US"/>
        </a:p>
      </dgm:t>
    </dgm:pt>
    <dgm:pt modelId="{47BAE27E-9487-45E3-AB1B-03B4A317F884}">
      <dgm:prSet/>
      <dgm:spPr/>
      <dgm:t>
        <a:bodyPr/>
        <a:lstStyle/>
        <a:p>
          <a:r>
            <a:rPr lang="en-US"/>
            <a:t>Qualidade</a:t>
          </a:r>
        </a:p>
      </dgm:t>
    </dgm:pt>
    <dgm:pt modelId="{4C18C41A-0F24-463D-99E8-EB080584263A}" type="parTrans" cxnId="{AB6F6FE7-8578-40EB-A701-A12CFF81EADB}">
      <dgm:prSet/>
      <dgm:spPr/>
      <dgm:t>
        <a:bodyPr/>
        <a:lstStyle/>
        <a:p>
          <a:endParaRPr lang="en-US"/>
        </a:p>
      </dgm:t>
    </dgm:pt>
    <dgm:pt modelId="{354D3B5C-8BF6-47C4-87AB-A7A19AD897DA}" type="sibTrans" cxnId="{AB6F6FE7-8578-40EB-A701-A12CFF81EADB}">
      <dgm:prSet/>
      <dgm:spPr/>
      <dgm:t>
        <a:bodyPr/>
        <a:lstStyle/>
        <a:p>
          <a:endParaRPr lang="en-US"/>
        </a:p>
      </dgm:t>
    </dgm:pt>
    <dgm:pt modelId="{EADE9E23-ACB3-4E34-BA87-27A38F0231D3}">
      <dgm:prSet/>
      <dgm:spPr/>
      <dgm:t>
        <a:bodyPr/>
        <a:lstStyle/>
        <a:p>
          <a:r>
            <a:rPr lang="en-US"/>
            <a:t>Custo</a:t>
          </a:r>
        </a:p>
      </dgm:t>
    </dgm:pt>
    <dgm:pt modelId="{267D3B82-B929-444F-BA98-45BDDDA65E01}" type="parTrans" cxnId="{861D7369-1CB2-439A-A979-0FBA233B896B}">
      <dgm:prSet/>
      <dgm:spPr/>
      <dgm:t>
        <a:bodyPr/>
        <a:lstStyle/>
        <a:p>
          <a:endParaRPr lang="en-US"/>
        </a:p>
      </dgm:t>
    </dgm:pt>
    <dgm:pt modelId="{584C8D1D-1C2F-4B27-8442-F5D3F224A5B7}" type="sibTrans" cxnId="{861D7369-1CB2-439A-A979-0FBA233B896B}">
      <dgm:prSet/>
      <dgm:spPr/>
      <dgm:t>
        <a:bodyPr/>
        <a:lstStyle/>
        <a:p>
          <a:endParaRPr lang="en-US"/>
        </a:p>
      </dgm:t>
    </dgm:pt>
    <dgm:pt modelId="{85E05176-AD20-48C6-B297-29EC668DA93B}">
      <dgm:prSet/>
      <dgm:spPr/>
      <dgm:t>
        <a:bodyPr/>
        <a:lstStyle/>
        <a:p>
          <a:r>
            <a:rPr lang="en-US"/>
            <a:t>Aquisições</a:t>
          </a:r>
        </a:p>
      </dgm:t>
    </dgm:pt>
    <dgm:pt modelId="{017C5C78-AF23-48EA-8DAB-B1F948312037}" type="parTrans" cxnId="{DE0BF341-2339-49B2-86C8-A3D3E8634E7F}">
      <dgm:prSet/>
      <dgm:spPr/>
      <dgm:t>
        <a:bodyPr/>
        <a:lstStyle/>
        <a:p>
          <a:endParaRPr lang="en-US"/>
        </a:p>
      </dgm:t>
    </dgm:pt>
    <dgm:pt modelId="{D43C51BC-8341-43BD-A114-3DA17D12AB9D}" type="sibTrans" cxnId="{DE0BF341-2339-49B2-86C8-A3D3E8634E7F}">
      <dgm:prSet/>
      <dgm:spPr/>
      <dgm:t>
        <a:bodyPr/>
        <a:lstStyle/>
        <a:p>
          <a:endParaRPr lang="en-US"/>
        </a:p>
      </dgm:t>
    </dgm:pt>
    <dgm:pt modelId="{9FC610A7-1D19-4DB3-8906-A24FBFD0A042}">
      <dgm:prSet/>
      <dgm:spPr/>
      <dgm:t>
        <a:bodyPr/>
        <a:lstStyle/>
        <a:p>
          <a:r>
            <a:rPr lang="en-US"/>
            <a:t>Recursos Humanos</a:t>
          </a:r>
        </a:p>
      </dgm:t>
    </dgm:pt>
    <dgm:pt modelId="{10E11834-819E-41DD-A57A-0A41430DD021}" type="parTrans" cxnId="{5A410EC2-1F71-4245-A67F-876BEAE58756}">
      <dgm:prSet/>
      <dgm:spPr/>
      <dgm:t>
        <a:bodyPr/>
        <a:lstStyle/>
        <a:p>
          <a:endParaRPr lang="en-US"/>
        </a:p>
      </dgm:t>
    </dgm:pt>
    <dgm:pt modelId="{AB079AC6-41BD-49DA-85D6-B9DA4D9C9296}" type="sibTrans" cxnId="{5A410EC2-1F71-4245-A67F-876BEAE58756}">
      <dgm:prSet/>
      <dgm:spPr/>
      <dgm:t>
        <a:bodyPr/>
        <a:lstStyle/>
        <a:p>
          <a:endParaRPr lang="en-US"/>
        </a:p>
      </dgm:t>
    </dgm:pt>
    <dgm:pt modelId="{257AF166-01D4-4492-AA06-66E31B002ACE}">
      <dgm:prSet/>
      <dgm:spPr/>
      <dgm:t>
        <a:bodyPr/>
        <a:lstStyle/>
        <a:p>
          <a:r>
            <a:rPr lang="en-US"/>
            <a:t>Risco</a:t>
          </a:r>
        </a:p>
      </dgm:t>
    </dgm:pt>
    <dgm:pt modelId="{D8C36DF9-F2A9-4F09-97E6-89EBBD2B39CF}" type="parTrans" cxnId="{C31A5568-0352-4C8E-8110-7F41CF3B7E2F}">
      <dgm:prSet/>
      <dgm:spPr/>
      <dgm:t>
        <a:bodyPr/>
        <a:lstStyle/>
        <a:p>
          <a:endParaRPr lang="en-US"/>
        </a:p>
      </dgm:t>
    </dgm:pt>
    <dgm:pt modelId="{BDDDC773-FA94-4026-8F96-0ECC577C435E}" type="sibTrans" cxnId="{C31A5568-0352-4C8E-8110-7F41CF3B7E2F}">
      <dgm:prSet/>
      <dgm:spPr/>
      <dgm:t>
        <a:bodyPr/>
        <a:lstStyle/>
        <a:p>
          <a:endParaRPr lang="en-US"/>
        </a:p>
      </dgm:t>
    </dgm:pt>
    <dgm:pt modelId="{5C6C8AB9-3813-4133-AA63-D07AE2D6461C}">
      <dgm:prSet/>
      <dgm:spPr/>
      <dgm:t>
        <a:bodyPr/>
        <a:lstStyle/>
        <a:p>
          <a:r>
            <a:rPr lang="en-US"/>
            <a:t>Comunicação</a:t>
          </a:r>
        </a:p>
      </dgm:t>
    </dgm:pt>
    <dgm:pt modelId="{2CC23624-44F3-4225-BE74-B393BEBC5377}" type="parTrans" cxnId="{952318ED-6599-4332-9384-7F6A6B6CC567}">
      <dgm:prSet/>
      <dgm:spPr/>
      <dgm:t>
        <a:bodyPr/>
        <a:lstStyle/>
        <a:p>
          <a:endParaRPr lang="en-US"/>
        </a:p>
      </dgm:t>
    </dgm:pt>
    <dgm:pt modelId="{5FD6A700-8A59-4837-9CB0-92DE5F55153D}" type="sibTrans" cxnId="{952318ED-6599-4332-9384-7F6A6B6CC567}">
      <dgm:prSet/>
      <dgm:spPr/>
      <dgm:t>
        <a:bodyPr/>
        <a:lstStyle/>
        <a:p>
          <a:endParaRPr lang="en-US"/>
        </a:p>
      </dgm:t>
    </dgm:pt>
    <dgm:pt modelId="{769E2AF2-08C7-4F69-B528-0034DEBC60BB}">
      <dgm:prSet/>
      <dgm:spPr/>
      <dgm:t>
        <a:bodyPr/>
        <a:lstStyle/>
        <a:p>
          <a:r>
            <a:rPr lang="en-US"/>
            <a:t>Stakeholders </a:t>
          </a:r>
        </a:p>
      </dgm:t>
    </dgm:pt>
    <dgm:pt modelId="{139A6FAE-13E8-41C7-91C5-A42D5AC773E4}" type="parTrans" cxnId="{1DC69448-4D39-418B-A2BB-76DF828D6CCE}">
      <dgm:prSet/>
      <dgm:spPr/>
      <dgm:t>
        <a:bodyPr/>
        <a:lstStyle/>
        <a:p>
          <a:endParaRPr lang="en-US"/>
        </a:p>
      </dgm:t>
    </dgm:pt>
    <dgm:pt modelId="{9600E09A-B93A-4267-85E5-967D7A804778}" type="sibTrans" cxnId="{1DC69448-4D39-418B-A2BB-76DF828D6CCE}">
      <dgm:prSet/>
      <dgm:spPr/>
      <dgm:t>
        <a:bodyPr/>
        <a:lstStyle/>
        <a:p>
          <a:endParaRPr lang="en-US"/>
        </a:p>
      </dgm:t>
    </dgm:pt>
    <dgm:pt modelId="{548544BB-10E0-4D46-9672-61E9712C25E4}">
      <dgm:prSet/>
      <dgm:spPr/>
      <dgm:t>
        <a:bodyPr/>
        <a:lstStyle/>
        <a:p>
          <a:r>
            <a:rPr lang="en-US"/>
            <a:t>Execução</a:t>
          </a:r>
        </a:p>
      </dgm:t>
    </dgm:pt>
    <dgm:pt modelId="{509A5A7C-5010-45CF-9564-EF8866B98DE4}" type="parTrans" cxnId="{6C8DFD7E-6409-4F25-AD28-CD65916DA04A}">
      <dgm:prSet/>
      <dgm:spPr/>
      <dgm:t>
        <a:bodyPr/>
        <a:lstStyle/>
        <a:p>
          <a:endParaRPr lang="en-US"/>
        </a:p>
      </dgm:t>
    </dgm:pt>
    <dgm:pt modelId="{5A86F708-027A-4DBA-990B-2C330A7706BF}" type="sibTrans" cxnId="{6C8DFD7E-6409-4F25-AD28-CD65916DA04A}">
      <dgm:prSet/>
      <dgm:spPr/>
      <dgm:t>
        <a:bodyPr/>
        <a:lstStyle/>
        <a:p>
          <a:endParaRPr lang="en-US"/>
        </a:p>
      </dgm:t>
    </dgm:pt>
    <dgm:pt modelId="{68A8CB83-99AF-44EB-BF9D-5F5E79D0380E}">
      <dgm:prSet/>
      <dgm:spPr/>
      <dgm:t>
        <a:bodyPr/>
        <a:lstStyle/>
        <a:p>
          <a:r>
            <a:rPr lang="en-US"/>
            <a:t>Lições Aprendidas</a:t>
          </a:r>
        </a:p>
      </dgm:t>
    </dgm:pt>
    <dgm:pt modelId="{2836CADD-9F3E-4F0E-9822-CFFD08AED70A}" type="parTrans" cxnId="{CD7FF710-0CD0-4AA0-A2AF-8087E68D9F7D}">
      <dgm:prSet/>
      <dgm:spPr/>
      <dgm:t>
        <a:bodyPr/>
        <a:lstStyle/>
        <a:p>
          <a:endParaRPr lang="en-US"/>
        </a:p>
      </dgm:t>
    </dgm:pt>
    <dgm:pt modelId="{78C6CAE7-C381-47EC-9CE7-AAC795517B7E}" type="sibTrans" cxnId="{CD7FF710-0CD0-4AA0-A2AF-8087E68D9F7D}">
      <dgm:prSet/>
      <dgm:spPr/>
      <dgm:t>
        <a:bodyPr/>
        <a:lstStyle/>
        <a:p>
          <a:endParaRPr lang="en-US"/>
        </a:p>
      </dgm:t>
    </dgm:pt>
    <dgm:pt modelId="{E09CB425-B9EC-412D-B385-F68F9F762002}">
      <dgm:prSet/>
      <dgm:spPr/>
      <dgm:t>
        <a:bodyPr/>
        <a:lstStyle/>
        <a:p>
          <a:pPr algn="ctr"/>
          <a:r>
            <a:rPr lang="en-US"/>
            <a:t>Aplicação checklist QA</a:t>
          </a:r>
        </a:p>
      </dgm:t>
    </dgm:pt>
    <dgm:pt modelId="{C9005D0D-19CB-4799-BDC9-3D02BA6BD455}" type="parTrans" cxnId="{12E4C2F7-E251-48E9-92DC-6B8886BAF569}">
      <dgm:prSet/>
      <dgm:spPr/>
      <dgm:t>
        <a:bodyPr/>
        <a:lstStyle/>
        <a:p>
          <a:endParaRPr lang="en-US"/>
        </a:p>
      </dgm:t>
    </dgm:pt>
    <dgm:pt modelId="{520C3874-EFE8-4104-91E0-BC0BE5489C22}" type="sibTrans" cxnId="{12E4C2F7-E251-48E9-92DC-6B8886BAF569}">
      <dgm:prSet/>
      <dgm:spPr/>
      <dgm:t>
        <a:bodyPr/>
        <a:lstStyle/>
        <a:p>
          <a:endParaRPr lang="en-US"/>
        </a:p>
      </dgm:t>
    </dgm:pt>
    <dgm:pt modelId="{0091A2BC-101E-464C-BAA9-DB27714E3712}">
      <dgm:prSet/>
      <dgm:spPr/>
      <dgm:t>
        <a:bodyPr/>
        <a:lstStyle/>
        <a:p>
          <a:r>
            <a:rPr lang="en-US"/>
            <a:t>Execução</a:t>
          </a:r>
        </a:p>
      </dgm:t>
    </dgm:pt>
    <dgm:pt modelId="{656AE4EC-5E41-4339-8506-F97DB8A50F52}" type="parTrans" cxnId="{816779EF-0C82-4DF2-BA6B-BDF8D38E7828}">
      <dgm:prSet/>
      <dgm:spPr/>
      <dgm:t>
        <a:bodyPr/>
        <a:lstStyle/>
        <a:p>
          <a:endParaRPr lang="en-US"/>
        </a:p>
      </dgm:t>
    </dgm:pt>
    <dgm:pt modelId="{94937032-5F73-48B2-A6F9-6A2FA82F1A6E}" type="sibTrans" cxnId="{816779EF-0C82-4DF2-BA6B-BDF8D38E7828}">
      <dgm:prSet/>
      <dgm:spPr/>
      <dgm:t>
        <a:bodyPr/>
        <a:lstStyle/>
        <a:p>
          <a:endParaRPr lang="en-US"/>
        </a:p>
      </dgm:t>
    </dgm:pt>
    <dgm:pt modelId="{D61F9809-8760-445E-992E-0B0AAF2AE482}">
      <dgm:prSet/>
      <dgm:spPr/>
      <dgm:t>
        <a:bodyPr/>
        <a:lstStyle/>
        <a:p>
          <a:r>
            <a:rPr lang="en-US"/>
            <a:t>Base 1</a:t>
          </a:r>
        </a:p>
      </dgm:t>
    </dgm:pt>
    <dgm:pt modelId="{98590495-B328-43FA-A3F6-B596D2F37422}" type="parTrans" cxnId="{496DED60-71E1-4373-B43E-ABE5872E134F}">
      <dgm:prSet/>
      <dgm:spPr/>
      <dgm:t>
        <a:bodyPr/>
        <a:lstStyle/>
        <a:p>
          <a:endParaRPr lang="en-US"/>
        </a:p>
      </dgm:t>
    </dgm:pt>
    <dgm:pt modelId="{E7A681B5-17D4-4EBF-8E86-481F3DB78FAD}" type="sibTrans" cxnId="{496DED60-71E1-4373-B43E-ABE5872E134F}">
      <dgm:prSet/>
      <dgm:spPr/>
      <dgm:t>
        <a:bodyPr/>
        <a:lstStyle/>
        <a:p>
          <a:endParaRPr lang="en-US"/>
        </a:p>
      </dgm:t>
    </dgm:pt>
    <dgm:pt modelId="{9714A519-1AA3-40A3-A42A-F7677A426616}">
      <dgm:prSet/>
      <dgm:spPr/>
      <dgm:t>
        <a:bodyPr/>
        <a:lstStyle/>
        <a:p>
          <a:r>
            <a:rPr lang="en-US"/>
            <a:t>Base 2 </a:t>
          </a:r>
        </a:p>
      </dgm:t>
    </dgm:pt>
    <dgm:pt modelId="{C2112F6B-BC3B-4C20-9A5A-2A0ED9B7A073}" type="parTrans" cxnId="{376410F7-1DA5-4D11-9530-823B4643A405}">
      <dgm:prSet/>
      <dgm:spPr/>
      <dgm:t>
        <a:bodyPr/>
        <a:lstStyle/>
        <a:p>
          <a:endParaRPr lang="en-US"/>
        </a:p>
      </dgm:t>
    </dgm:pt>
    <dgm:pt modelId="{2545DF31-FBB8-4A98-9028-4C478AEA84F2}" type="sibTrans" cxnId="{376410F7-1DA5-4D11-9530-823B4643A405}">
      <dgm:prSet/>
      <dgm:spPr/>
      <dgm:t>
        <a:bodyPr/>
        <a:lstStyle/>
        <a:p>
          <a:endParaRPr lang="en-US"/>
        </a:p>
      </dgm:t>
    </dgm:pt>
    <dgm:pt modelId="{63F2F430-FD87-40D3-93B0-0C7164AB4230}">
      <dgm:prSet/>
      <dgm:spPr/>
      <dgm:t>
        <a:bodyPr/>
        <a:lstStyle/>
        <a:p>
          <a:r>
            <a:rPr lang="en-US"/>
            <a:t>Conexão dos módulos 1 e 2</a:t>
          </a:r>
        </a:p>
      </dgm:t>
    </dgm:pt>
    <dgm:pt modelId="{3F8AD065-BF66-4B39-BF44-B0D5CEC0DC70}" type="parTrans" cxnId="{23173452-C978-4163-8A60-8728AB97B2EF}">
      <dgm:prSet/>
      <dgm:spPr/>
      <dgm:t>
        <a:bodyPr/>
        <a:lstStyle/>
        <a:p>
          <a:endParaRPr lang="en-US"/>
        </a:p>
      </dgm:t>
    </dgm:pt>
    <dgm:pt modelId="{AF67DAC1-CA38-4770-8F52-1F0C3FC8C53C}" type="sibTrans" cxnId="{23173452-C978-4163-8A60-8728AB97B2EF}">
      <dgm:prSet/>
      <dgm:spPr/>
      <dgm:t>
        <a:bodyPr/>
        <a:lstStyle/>
        <a:p>
          <a:endParaRPr lang="en-US"/>
        </a:p>
      </dgm:t>
    </dgm:pt>
    <dgm:pt modelId="{F3CE1F20-3607-41DE-9D50-779D66BA2B7D}">
      <dgm:prSet/>
      <dgm:spPr/>
      <dgm:t>
        <a:bodyPr/>
        <a:lstStyle/>
        <a:p>
          <a:r>
            <a:rPr lang="en-US"/>
            <a:t>Montagem</a:t>
          </a:r>
        </a:p>
      </dgm:t>
    </dgm:pt>
    <dgm:pt modelId="{C6000C59-26D4-4851-9BF3-D3F6CF56E0FF}" type="parTrans" cxnId="{2F3F82D3-DDC9-4965-B11E-D44A1FECA025}">
      <dgm:prSet/>
      <dgm:spPr/>
      <dgm:t>
        <a:bodyPr/>
        <a:lstStyle/>
        <a:p>
          <a:endParaRPr lang="en-US"/>
        </a:p>
      </dgm:t>
    </dgm:pt>
    <dgm:pt modelId="{42A19D93-23FE-495E-B8BD-51D1B86867CD}" type="sibTrans" cxnId="{2F3F82D3-DDC9-4965-B11E-D44A1FECA025}">
      <dgm:prSet/>
      <dgm:spPr/>
      <dgm:t>
        <a:bodyPr/>
        <a:lstStyle/>
        <a:p>
          <a:endParaRPr lang="en-US"/>
        </a:p>
      </dgm:t>
    </dgm:pt>
    <dgm:pt modelId="{76891361-952C-4E19-B168-ACCBD94A6621}">
      <dgm:prSet/>
      <dgm:spPr/>
      <dgm:t>
        <a:bodyPr/>
        <a:lstStyle/>
        <a:p>
          <a:r>
            <a:rPr lang="en-US"/>
            <a:t>Termo de Encerramento</a:t>
          </a:r>
          <a:endParaRPr lang="pt-BR"/>
        </a:p>
      </dgm:t>
    </dgm:pt>
    <dgm:pt modelId="{ACC4923E-EF19-4695-B0BF-F579A4296317}" type="parTrans" cxnId="{C93E4E2C-8234-432E-8F8D-BAFA7801283B}">
      <dgm:prSet/>
      <dgm:spPr/>
      <dgm:t>
        <a:bodyPr/>
        <a:lstStyle/>
        <a:p>
          <a:endParaRPr lang="pt-BR"/>
        </a:p>
      </dgm:t>
    </dgm:pt>
    <dgm:pt modelId="{705CBF77-1EBB-4983-85C3-CD799A0EC840}" type="sibTrans" cxnId="{C93E4E2C-8234-432E-8F8D-BAFA7801283B}">
      <dgm:prSet/>
      <dgm:spPr/>
      <dgm:t>
        <a:bodyPr/>
        <a:lstStyle/>
        <a:p>
          <a:endParaRPr lang="pt-BR"/>
        </a:p>
      </dgm:t>
    </dgm:pt>
    <dgm:pt modelId="{BA1ADF91-75C0-43DD-B323-4FBAFEE963B6}">
      <dgm:prSet/>
      <dgm:spPr/>
      <dgm:t>
        <a:bodyPr/>
        <a:lstStyle/>
        <a:p>
          <a:r>
            <a:rPr lang="en-US"/>
            <a:t>Matriz de responsabilidades</a:t>
          </a:r>
        </a:p>
      </dgm:t>
    </dgm:pt>
    <dgm:pt modelId="{581DE153-F467-4D41-BD65-75EFEB1A532E}" type="parTrans" cxnId="{60B33AF9-D86C-451A-9C94-B2BAC0E74B25}">
      <dgm:prSet/>
      <dgm:spPr/>
      <dgm:t>
        <a:bodyPr/>
        <a:lstStyle/>
        <a:p>
          <a:endParaRPr lang="pt-BR"/>
        </a:p>
      </dgm:t>
    </dgm:pt>
    <dgm:pt modelId="{55064DE8-C44C-4C16-B503-59DD5C789ADF}" type="sibTrans" cxnId="{60B33AF9-D86C-451A-9C94-B2BAC0E74B25}">
      <dgm:prSet/>
      <dgm:spPr/>
      <dgm:t>
        <a:bodyPr/>
        <a:lstStyle/>
        <a:p>
          <a:endParaRPr lang="pt-BR"/>
        </a:p>
      </dgm:t>
    </dgm:pt>
    <dgm:pt modelId="{59D50634-26C5-4B71-8017-A959192B34A8}">
      <dgm:prSet phldrT="[Texto]"/>
      <dgm:spPr/>
      <dgm:t>
        <a:bodyPr/>
        <a:lstStyle/>
        <a:p>
          <a:r>
            <a:rPr lang="en-US"/>
            <a:t>Iniciação</a:t>
          </a:r>
        </a:p>
      </dgm:t>
    </dgm:pt>
    <dgm:pt modelId="{1537FE45-317E-4AF9-B925-633E93101596}" type="parTrans" cxnId="{EAA3AA81-CD64-4888-8E4A-F1D8FC6A7E99}">
      <dgm:prSet/>
      <dgm:spPr/>
      <dgm:t>
        <a:bodyPr/>
        <a:lstStyle/>
        <a:p>
          <a:endParaRPr lang="pt-BR"/>
        </a:p>
      </dgm:t>
    </dgm:pt>
    <dgm:pt modelId="{38C2C47D-A8C3-47B3-A1F0-781B06FFF1CB}" type="sibTrans" cxnId="{EAA3AA81-CD64-4888-8E4A-F1D8FC6A7E99}">
      <dgm:prSet/>
      <dgm:spPr/>
      <dgm:t>
        <a:bodyPr/>
        <a:lstStyle/>
        <a:p>
          <a:endParaRPr lang="pt-BR"/>
        </a:p>
      </dgm:t>
    </dgm:pt>
    <dgm:pt modelId="{5678CC4F-0FCC-4189-94C4-7F1BD56A9CEF}">
      <dgm:prSet phldrT="[Texto]"/>
      <dgm:spPr/>
      <dgm:t>
        <a:bodyPr/>
        <a:lstStyle/>
        <a:p>
          <a:r>
            <a:rPr lang="en-US"/>
            <a:t>Identificação dos Stakeholdes</a:t>
          </a:r>
        </a:p>
      </dgm:t>
    </dgm:pt>
    <dgm:pt modelId="{5CB88AF0-AE57-416C-8DEE-7A4ACD4A0956}" type="parTrans" cxnId="{DBFB05FB-4DAA-45C8-A50D-5515FAE34C42}">
      <dgm:prSet/>
      <dgm:spPr/>
      <dgm:t>
        <a:bodyPr/>
        <a:lstStyle/>
        <a:p>
          <a:endParaRPr lang="pt-BR"/>
        </a:p>
      </dgm:t>
    </dgm:pt>
    <dgm:pt modelId="{15FAC951-BE95-4B90-B349-09B3E8441921}" type="sibTrans" cxnId="{DBFB05FB-4DAA-45C8-A50D-5515FAE34C42}">
      <dgm:prSet/>
      <dgm:spPr/>
      <dgm:t>
        <a:bodyPr/>
        <a:lstStyle/>
        <a:p>
          <a:endParaRPr lang="pt-BR"/>
        </a:p>
      </dgm:t>
    </dgm:pt>
    <dgm:pt modelId="{C00BDA59-49DC-45E3-9B70-7655B322F466}">
      <dgm:prSet/>
      <dgm:spPr/>
      <dgm:t>
        <a:bodyPr/>
        <a:lstStyle/>
        <a:p>
          <a:r>
            <a:rPr lang="en-US"/>
            <a:t>Base 3 </a:t>
          </a:r>
        </a:p>
      </dgm:t>
    </dgm:pt>
    <dgm:pt modelId="{ACEC2FF5-BA67-478C-88EA-C61AE948BA0A}" type="parTrans" cxnId="{82EBC7E0-6B1E-47C7-9D1C-604DE237B192}">
      <dgm:prSet/>
      <dgm:spPr/>
      <dgm:t>
        <a:bodyPr/>
        <a:lstStyle/>
        <a:p>
          <a:endParaRPr lang="pt-BR"/>
        </a:p>
      </dgm:t>
    </dgm:pt>
    <dgm:pt modelId="{2D302576-A2B7-43EE-927E-1195DBC52596}" type="sibTrans" cxnId="{82EBC7E0-6B1E-47C7-9D1C-604DE237B192}">
      <dgm:prSet/>
      <dgm:spPr/>
      <dgm:t>
        <a:bodyPr/>
        <a:lstStyle/>
        <a:p>
          <a:endParaRPr lang="pt-BR"/>
        </a:p>
      </dgm:t>
    </dgm:pt>
    <dgm:pt modelId="{9D0CC937-0EBF-4C39-BC02-F33D0D338B6A}">
      <dgm:prSet/>
      <dgm:spPr/>
      <dgm:t>
        <a:bodyPr/>
        <a:lstStyle/>
        <a:p>
          <a:r>
            <a:rPr lang="en-US"/>
            <a:t>Conexão módulo 3</a:t>
          </a:r>
        </a:p>
      </dgm:t>
    </dgm:pt>
    <dgm:pt modelId="{D2B213CD-8CC8-43C4-BDF1-E0CB054DDC5B}" type="parTrans" cxnId="{17D85A27-57E0-4960-B0EA-2BD74A5EBED0}">
      <dgm:prSet/>
      <dgm:spPr/>
      <dgm:t>
        <a:bodyPr/>
        <a:lstStyle/>
        <a:p>
          <a:endParaRPr lang="pt-BR"/>
        </a:p>
      </dgm:t>
    </dgm:pt>
    <dgm:pt modelId="{B77390DD-0AF6-4057-8520-5B5660FC9495}" type="sibTrans" cxnId="{17D85A27-57E0-4960-B0EA-2BD74A5EBED0}">
      <dgm:prSet/>
      <dgm:spPr/>
      <dgm:t>
        <a:bodyPr/>
        <a:lstStyle/>
        <a:p>
          <a:endParaRPr lang="pt-BR"/>
        </a:p>
      </dgm:t>
    </dgm:pt>
    <dgm:pt modelId="{DD438CC6-228C-4857-831C-5E9AA9CD33EA}" type="pres">
      <dgm:prSet presAssocID="{2FA1F857-1465-49B2-BF65-C61FA18BDFBE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4DD9AA72-52C1-44BF-8851-51528852EB1F}" type="pres">
      <dgm:prSet presAssocID="{CC8AFE17-E51A-401A-9603-0D4983FF2551}" presName="hierRoot1" presStyleCnt="0">
        <dgm:presLayoutVars>
          <dgm:hierBranch val="init"/>
        </dgm:presLayoutVars>
      </dgm:prSet>
      <dgm:spPr/>
    </dgm:pt>
    <dgm:pt modelId="{DD40D05D-6DDA-4900-A354-DC05D328CCF1}" type="pres">
      <dgm:prSet presAssocID="{CC8AFE17-E51A-401A-9603-0D4983FF2551}" presName="rootComposite1" presStyleCnt="0"/>
      <dgm:spPr/>
    </dgm:pt>
    <dgm:pt modelId="{DAE1F548-C04B-4667-9BA0-6F6E67170096}" type="pres">
      <dgm:prSet presAssocID="{CC8AFE17-E51A-401A-9603-0D4983FF2551}" presName="rootText1" presStyleLbl="node0" presStyleIdx="0" presStyleCnt="1">
        <dgm:presLayoutVars>
          <dgm:chPref val="3"/>
        </dgm:presLayoutVars>
      </dgm:prSet>
      <dgm:spPr/>
    </dgm:pt>
    <dgm:pt modelId="{E2A3CE2B-F1D4-4146-BBCD-A2DDBD61F78B}" type="pres">
      <dgm:prSet presAssocID="{CC8AFE17-E51A-401A-9603-0D4983FF2551}" presName="rootConnector1" presStyleLbl="node1" presStyleIdx="0" presStyleCnt="0"/>
      <dgm:spPr/>
    </dgm:pt>
    <dgm:pt modelId="{EAF3D06E-756D-4DF0-B22D-D903B12F4F84}" type="pres">
      <dgm:prSet presAssocID="{CC8AFE17-E51A-401A-9603-0D4983FF2551}" presName="hierChild2" presStyleCnt="0"/>
      <dgm:spPr/>
    </dgm:pt>
    <dgm:pt modelId="{B4CB7DF9-5CB6-4F69-AC7C-0542E6DB0BD6}" type="pres">
      <dgm:prSet presAssocID="{1537FE45-317E-4AF9-B925-633E93101596}" presName="Name37" presStyleLbl="parChTrans1D2" presStyleIdx="0" presStyleCnt="5"/>
      <dgm:spPr/>
    </dgm:pt>
    <dgm:pt modelId="{B5B6299A-DECC-461B-BF09-4C242649E889}" type="pres">
      <dgm:prSet presAssocID="{59D50634-26C5-4B71-8017-A959192B34A8}" presName="hierRoot2" presStyleCnt="0">
        <dgm:presLayoutVars>
          <dgm:hierBranch val="init"/>
        </dgm:presLayoutVars>
      </dgm:prSet>
      <dgm:spPr/>
    </dgm:pt>
    <dgm:pt modelId="{7E3FB328-E9E3-4891-B786-B80FCC2780B0}" type="pres">
      <dgm:prSet presAssocID="{59D50634-26C5-4B71-8017-A959192B34A8}" presName="rootComposite" presStyleCnt="0"/>
      <dgm:spPr/>
    </dgm:pt>
    <dgm:pt modelId="{F9889314-73E8-4FA4-8BAC-84947BF867B6}" type="pres">
      <dgm:prSet presAssocID="{59D50634-26C5-4B71-8017-A959192B34A8}" presName="rootText" presStyleLbl="node2" presStyleIdx="0" presStyleCnt="5">
        <dgm:presLayoutVars>
          <dgm:chPref val="3"/>
        </dgm:presLayoutVars>
      </dgm:prSet>
      <dgm:spPr/>
    </dgm:pt>
    <dgm:pt modelId="{3F9157AF-286A-4543-97AC-9C9D89C03BA9}" type="pres">
      <dgm:prSet presAssocID="{59D50634-26C5-4B71-8017-A959192B34A8}" presName="rootConnector" presStyleLbl="node2" presStyleIdx="0" presStyleCnt="5"/>
      <dgm:spPr/>
    </dgm:pt>
    <dgm:pt modelId="{AE3A3783-4994-461E-B02D-141104EAFC26}" type="pres">
      <dgm:prSet presAssocID="{59D50634-26C5-4B71-8017-A959192B34A8}" presName="hierChild4" presStyleCnt="0"/>
      <dgm:spPr/>
    </dgm:pt>
    <dgm:pt modelId="{598D5FFB-A1E9-414A-ABB9-55FD3DF3C3FF}" type="pres">
      <dgm:prSet presAssocID="{5CB88AF0-AE57-416C-8DEE-7A4ACD4A0956}" presName="Name37" presStyleLbl="parChTrans1D3" presStyleIdx="0" presStyleCnt="7"/>
      <dgm:spPr/>
    </dgm:pt>
    <dgm:pt modelId="{C3B03FDF-95B2-43BA-BB6C-0CA3CA03E45D}" type="pres">
      <dgm:prSet presAssocID="{5678CC4F-0FCC-4189-94C4-7F1BD56A9CEF}" presName="hierRoot2" presStyleCnt="0">
        <dgm:presLayoutVars>
          <dgm:hierBranch val="init"/>
        </dgm:presLayoutVars>
      </dgm:prSet>
      <dgm:spPr/>
    </dgm:pt>
    <dgm:pt modelId="{55D38EC2-2281-46AD-AF76-2FC8896F719D}" type="pres">
      <dgm:prSet presAssocID="{5678CC4F-0FCC-4189-94C4-7F1BD56A9CEF}" presName="rootComposite" presStyleCnt="0"/>
      <dgm:spPr/>
    </dgm:pt>
    <dgm:pt modelId="{7566DFF6-0FC0-4F67-B7DF-4B6235A25B12}" type="pres">
      <dgm:prSet presAssocID="{5678CC4F-0FCC-4189-94C4-7F1BD56A9CEF}" presName="rootText" presStyleLbl="node3" presStyleIdx="0" presStyleCnt="7">
        <dgm:presLayoutVars>
          <dgm:chPref val="3"/>
        </dgm:presLayoutVars>
      </dgm:prSet>
      <dgm:spPr/>
    </dgm:pt>
    <dgm:pt modelId="{9A6625C3-293B-400D-894C-06ACE1C09066}" type="pres">
      <dgm:prSet presAssocID="{5678CC4F-0FCC-4189-94C4-7F1BD56A9CEF}" presName="rootConnector" presStyleLbl="node3" presStyleIdx="0" presStyleCnt="7"/>
      <dgm:spPr/>
    </dgm:pt>
    <dgm:pt modelId="{77FFABE6-8FBF-4323-B1FA-94C68A54C884}" type="pres">
      <dgm:prSet presAssocID="{5678CC4F-0FCC-4189-94C4-7F1BD56A9CEF}" presName="hierChild4" presStyleCnt="0"/>
      <dgm:spPr/>
    </dgm:pt>
    <dgm:pt modelId="{9765C944-43C5-43ED-BF51-D60F1BF76FAF}" type="pres">
      <dgm:prSet presAssocID="{5678CC4F-0FCC-4189-94C4-7F1BD56A9CEF}" presName="hierChild5" presStyleCnt="0"/>
      <dgm:spPr/>
    </dgm:pt>
    <dgm:pt modelId="{9226F100-224B-4AF2-BCA2-8F9464606037}" type="pres">
      <dgm:prSet presAssocID="{59D50634-26C5-4B71-8017-A959192B34A8}" presName="hierChild5" presStyleCnt="0"/>
      <dgm:spPr/>
    </dgm:pt>
    <dgm:pt modelId="{008F2A8F-9915-4223-94DB-6A85F94B0272}" type="pres">
      <dgm:prSet presAssocID="{E6CCCBEF-B2BC-49EE-9AD3-B8D0B6BC2CF9}" presName="Name37" presStyleLbl="parChTrans1D2" presStyleIdx="1" presStyleCnt="5"/>
      <dgm:spPr/>
    </dgm:pt>
    <dgm:pt modelId="{04FA824C-FFCB-4D1F-AA13-53BD340E89D4}" type="pres">
      <dgm:prSet presAssocID="{6B9F40C9-8F71-4C58-8A0C-CB307414309B}" presName="hierRoot2" presStyleCnt="0">
        <dgm:presLayoutVars>
          <dgm:hierBranch val="init"/>
        </dgm:presLayoutVars>
      </dgm:prSet>
      <dgm:spPr/>
    </dgm:pt>
    <dgm:pt modelId="{A0B30FF3-B0CA-46EC-B775-0E2439AD8559}" type="pres">
      <dgm:prSet presAssocID="{6B9F40C9-8F71-4C58-8A0C-CB307414309B}" presName="rootComposite" presStyleCnt="0"/>
      <dgm:spPr/>
    </dgm:pt>
    <dgm:pt modelId="{C2113E5F-4670-47EC-A5EA-084299B57EAB}" type="pres">
      <dgm:prSet presAssocID="{6B9F40C9-8F71-4C58-8A0C-CB307414309B}" presName="rootText" presStyleLbl="node2" presStyleIdx="1" presStyleCnt="5">
        <dgm:presLayoutVars>
          <dgm:chPref val="3"/>
        </dgm:presLayoutVars>
      </dgm:prSet>
      <dgm:spPr/>
    </dgm:pt>
    <dgm:pt modelId="{A9D7A206-3AFA-4AB9-B79E-DE97409DC05B}" type="pres">
      <dgm:prSet presAssocID="{6B9F40C9-8F71-4C58-8A0C-CB307414309B}" presName="rootConnector" presStyleLbl="node2" presStyleIdx="1" presStyleCnt="5"/>
      <dgm:spPr/>
    </dgm:pt>
    <dgm:pt modelId="{E754D133-A013-4E4D-889E-24020FD2BE7E}" type="pres">
      <dgm:prSet presAssocID="{6B9F40C9-8F71-4C58-8A0C-CB307414309B}" presName="hierChild4" presStyleCnt="0"/>
      <dgm:spPr/>
    </dgm:pt>
    <dgm:pt modelId="{8C3EDA7F-C41F-4EB5-BDA7-2CF3C72CDF8C}" type="pres">
      <dgm:prSet presAssocID="{67A7012E-7138-4603-8BD4-427F8C544CD3}" presName="Name37" presStyleLbl="parChTrans1D3" presStyleIdx="1" presStyleCnt="7"/>
      <dgm:spPr/>
    </dgm:pt>
    <dgm:pt modelId="{1FF0C1C7-861F-4CF8-9C1F-6E82E1C194C6}" type="pres">
      <dgm:prSet presAssocID="{CA8F54AE-A955-45C5-B3C0-4E5A3D44BC10}" presName="hierRoot2" presStyleCnt="0">
        <dgm:presLayoutVars>
          <dgm:hierBranch val="init"/>
        </dgm:presLayoutVars>
      </dgm:prSet>
      <dgm:spPr/>
    </dgm:pt>
    <dgm:pt modelId="{6962DE4C-C654-4BFB-A12C-20F821BB3087}" type="pres">
      <dgm:prSet presAssocID="{CA8F54AE-A955-45C5-B3C0-4E5A3D44BC10}" presName="rootComposite" presStyleCnt="0"/>
      <dgm:spPr/>
    </dgm:pt>
    <dgm:pt modelId="{8895EAD4-1A2B-4066-90EE-3577F268900A}" type="pres">
      <dgm:prSet presAssocID="{CA8F54AE-A955-45C5-B3C0-4E5A3D44BC10}" presName="rootText" presStyleLbl="node3" presStyleIdx="1" presStyleCnt="7" custScaleX="113878">
        <dgm:presLayoutVars>
          <dgm:chPref val="3"/>
        </dgm:presLayoutVars>
      </dgm:prSet>
      <dgm:spPr/>
    </dgm:pt>
    <dgm:pt modelId="{0DC93365-AAE8-4A43-8CF4-377215C6C29B}" type="pres">
      <dgm:prSet presAssocID="{CA8F54AE-A955-45C5-B3C0-4E5A3D44BC10}" presName="rootConnector" presStyleLbl="node3" presStyleIdx="1" presStyleCnt="7"/>
      <dgm:spPr/>
    </dgm:pt>
    <dgm:pt modelId="{F711D8F4-F649-4F2D-9795-D4D55755E50A}" type="pres">
      <dgm:prSet presAssocID="{CA8F54AE-A955-45C5-B3C0-4E5A3D44BC10}" presName="hierChild4" presStyleCnt="0"/>
      <dgm:spPr/>
    </dgm:pt>
    <dgm:pt modelId="{1E24523D-C346-4086-A1E2-18FE6C986449}" type="pres">
      <dgm:prSet presAssocID="{1D14EEEF-7CBE-4FDD-830E-1251E5A69C75}" presName="Name37" presStyleLbl="parChTrans1D4" presStyleIdx="0" presStyleCnt="16"/>
      <dgm:spPr/>
    </dgm:pt>
    <dgm:pt modelId="{9FA649E2-52B3-49F6-94EB-0B4A2EAEDCEC}" type="pres">
      <dgm:prSet presAssocID="{CEA1188F-7128-41D8-829F-50805DFADED3}" presName="hierRoot2" presStyleCnt="0">
        <dgm:presLayoutVars>
          <dgm:hierBranch val="init"/>
        </dgm:presLayoutVars>
      </dgm:prSet>
      <dgm:spPr/>
    </dgm:pt>
    <dgm:pt modelId="{ADAA5792-A047-4132-805B-AA2584E0B653}" type="pres">
      <dgm:prSet presAssocID="{CEA1188F-7128-41D8-829F-50805DFADED3}" presName="rootComposite" presStyleCnt="0"/>
      <dgm:spPr/>
    </dgm:pt>
    <dgm:pt modelId="{64019EAF-FAD8-4183-88E0-C6F77A25113C}" type="pres">
      <dgm:prSet presAssocID="{CEA1188F-7128-41D8-829F-50805DFADED3}" presName="rootText" presStyleLbl="node4" presStyleIdx="0" presStyleCnt="16">
        <dgm:presLayoutVars>
          <dgm:chPref val="3"/>
        </dgm:presLayoutVars>
      </dgm:prSet>
      <dgm:spPr/>
    </dgm:pt>
    <dgm:pt modelId="{17554B4F-D54C-4A1A-B87D-A245F297DE8C}" type="pres">
      <dgm:prSet presAssocID="{CEA1188F-7128-41D8-829F-50805DFADED3}" presName="rootConnector" presStyleLbl="node4" presStyleIdx="0" presStyleCnt="16"/>
      <dgm:spPr/>
    </dgm:pt>
    <dgm:pt modelId="{0D0B3AD3-5C0C-4B59-A85D-BCDB51C57193}" type="pres">
      <dgm:prSet presAssocID="{CEA1188F-7128-41D8-829F-50805DFADED3}" presName="hierChild4" presStyleCnt="0"/>
      <dgm:spPr/>
    </dgm:pt>
    <dgm:pt modelId="{34913701-44EC-4CF6-BF91-047E28855FF6}" type="pres">
      <dgm:prSet presAssocID="{CEA1188F-7128-41D8-829F-50805DFADED3}" presName="hierChild5" presStyleCnt="0"/>
      <dgm:spPr/>
    </dgm:pt>
    <dgm:pt modelId="{34B6A954-26FA-4D5A-B36E-8CD2D1D6B078}" type="pres">
      <dgm:prSet presAssocID="{24D0B328-6368-48D0-8CFE-F39AB01BAE25}" presName="Name37" presStyleLbl="parChTrans1D4" presStyleIdx="1" presStyleCnt="16"/>
      <dgm:spPr/>
    </dgm:pt>
    <dgm:pt modelId="{62AE0DE0-D9DA-48D5-9E57-E1B63E0D4368}" type="pres">
      <dgm:prSet presAssocID="{77DEB8B3-ECFE-4592-A9BE-B441FC27D24B}" presName="hierRoot2" presStyleCnt="0">
        <dgm:presLayoutVars>
          <dgm:hierBranch val="init"/>
        </dgm:presLayoutVars>
      </dgm:prSet>
      <dgm:spPr/>
    </dgm:pt>
    <dgm:pt modelId="{A5A8BD6B-0DD0-45D2-BE06-3ADB522D5E72}" type="pres">
      <dgm:prSet presAssocID="{77DEB8B3-ECFE-4592-A9BE-B441FC27D24B}" presName="rootComposite" presStyleCnt="0"/>
      <dgm:spPr/>
    </dgm:pt>
    <dgm:pt modelId="{06BDDADF-3E5C-4DD2-983D-DDB75938912C}" type="pres">
      <dgm:prSet presAssocID="{77DEB8B3-ECFE-4592-A9BE-B441FC27D24B}" presName="rootText" presStyleLbl="node4" presStyleIdx="1" presStyleCnt="16">
        <dgm:presLayoutVars>
          <dgm:chPref val="3"/>
        </dgm:presLayoutVars>
      </dgm:prSet>
      <dgm:spPr/>
    </dgm:pt>
    <dgm:pt modelId="{A9565DC3-2F39-4EAD-A04B-30964B91F244}" type="pres">
      <dgm:prSet presAssocID="{77DEB8B3-ECFE-4592-A9BE-B441FC27D24B}" presName="rootConnector" presStyleLbl="node4" presStyleIdx="1" presStyleCnt="16"/>
      <dgm:spPr/>
    </dgm:pt>
    <dgm:pt modelId="{A598CD11-EE1D-43D2-BA62-F45AD1B1D594}" type="pres">
      <dgm:prSet presAssocID="{77DEB8B3-ECFE-4592-A9BE-B441FC27D24B}" presName="hierChild4" presStyleCnt="0"/>
      <dgm:spPr/>
    </dgm:pt>
    <dgm:pt modelId="{75BB3A2F-6960-4832-B91A-95BBBA7C9D26}" type="pres">
      <dgm:prSet presAssocID="{77DEB8B3-ECFE-4592-A9BE-B441FC27D24B}" presName="hierChild5" presStyleCnt="0"/>
      <dgm:spPr/>
    </dgm:pt>
    <dgm:pt modelId="{26A1B3A3-44CE-4DFC-A37B-DEB5A231E74D}" type="pres">
      <dgm:prSet presAssocID="{CA8F54AE-A955-45C5-B3C0-4E5A3D44BC10}" presName="hierChild5" presStyleCnt="0"/>
      <dgm:spPr/>
    </dgm:pt>
    <dgm:pt modelId="{5CBA0914-AD34-4D28-B54E-18DB06E34347}" type="pres">
      <dgm:prSet presAssocID="{153A550F-586C-4B08-B51E-7F9466A3874F}" presName="Name37" presStyleLbl="parChTrans1D3" presStyleIdx="2" presStyleCnt="7"/>
      <dgm:spPr/>
    </dgm:pt>
    <dgm:pt modelId="{BC8E486B-EB8D-460B-A39B-4CF44E85DE06}" type="pres">
      <dgm:prSet presAssocID="{0FB60897-1D23-4E70-B4AD-B102F2022EC0}" presName="hierRoot2" presStyleCnt="0">
        <dgm:presLayoutVars>
          <dgm:hierBranch val="init"/>
        </dgm:presLayoutVars>
      </dgm:prSet>
      <dgm:spPr/>
    </dgm:pt>
    <dgm:pt modelId="{6AE7B617-A78A-4833-9FA5-76758D77930F}" type="pres">
      <dgm:prSet presAssocID="{0FB60897-1D23-4E70-B4AD-B102F2022EC0}" presName="rootComposite" presStyleCnt="0"/>
      <dgm:spPr/>
    </dgm:pt>
    <dgm:pt modelId="{9D4ED0E6-C383-4B09-897A-F3AD0CEF5528}" type="pres">
      <dgm:prSet presAssocID="{0FB60897-1D23-4E70-B4AD-B102F2022EC0}" presName="rootText" presStyleLbl="node3" presStyleIdx="2" presStyleCnt="7">
        <dgm:presLayoutVars>
          <dgm:chPref val="3"/>
        </dgm:presLayoutVars>
      </dgm:prSet>
      <dgm:spPr/>
    </dgm:pt>
    <dgm:pt modelId="{F6DE5D49-C83E-4000-BC1E-79AB87AFFFCA}" type="pres">
      <dgm:prSet presAssocID="{0FB60897-1D23-4E70-B4AD-B102F2022EC0}" presName="rootConnector" presStyleLbl="node3" presStyleIdx="2" presStyleCnt="7"/>
      <dgm:spPr/>
    </dgm:pt>
    <dgm:pt modelId="{1E00BF08-F7EA-4822-8ED0-0E8116BACC05}" type="pres">
      <dgm:prSet presAssocID="{0FB60897-1D23-4E70-B4AD-B102F2022EC0}" presName="hierChild4" presStyleCnt="0"/>
      <dgm:spPr/>
    </dgm:pt>
    <dgm:pt modelId="{32928964-300F-49A8-96F4-7D6993C2F759}" type="pres">
      <dgm:prSet presAssocID="{4C18C41A-0F24-463D-99E8-EB080584263A}" presName="Name37" presStyleLbl="parChTrans1D4" presStyleIdx="2" presStyleCnt="16"/>
      <dgm:spPr/>
    </dgm:pt>
    <dgm:pt modelId="{3350A182-9FF6-4E79-869A-3FC053464D6B}" type="pres">
      <dgm:prSet presAssocID="{47BAE27E-9487-45E3-AB1B-03B4A317F884}" presName="hierRoot2" presStyleCnt="0">
        <dgm:presLayoutVars>
          <dgm:hierBranch val="init"/>
        </dgm:presLayoutVars>
      </dgm:prSet>
      <dgm:spPr/>
    </dgm:pt>
    <dgm:pt modelId="{49942C16-5BD7-401E-8A22-CE88C708B341}" type="pres">
      <dgm:prSet presAssocID="{47BAE27E-9487-45E3-AB1B-03B4A317F884}" presName="rootComposite" presStyleCnt="0"/>
      <dgm:spPr/>
    </dgm:pt>
    <dgm:pt modelId="{37134096-CEFA-4402-B379-C62253F363C6}" type="pres">
      <dgm:prSet presAssocID="{47BAE27E-9487-45E3-AB1B-03B4A317F884}" presName="rootText" presStyleLbl="node4" presStyleIdx="2" presStyleCnt="16" custLinFactY="348098" custLinFactNeighborX="2645" custLinFactNeighborY="400000">
        <dgm:presLayoutVars>
          <dgm:chPref val="3"/>
        </dgm:presLayoutVars>
      </dgm:prSet>
      <dgm:spPr/>
    </dgm:pt>
    <dgm:pt modelId="{1B97778D-7B8C-4C50-A564-BCCE4FD6104F}" type="pres">
      <dgm:prSet presAssocID="{47BAE27E-9487-45E3-AB1B-03B4A317F884}" presName="rootConnector" presStyleLbl="node4" presStyleIdx="2" presStyleCnt="16"/>
      <dgm:spPr/>
    </dgm:pt>
    <dgm:pt modelId="{7B8A1427-D1FA-4E12-9ADA-6EFA37E01C17}" type="pres">
      <dgm:prSet presAssocID="{47BAE27E-9487-45E3-AB1B-03B4A317F884}" presName="hierChild4" presStyleCnt="0"/>
      <dgm:spPr/>
    </dgm:pt>
    <dgm:pt modelId="{5E0918D5-FF32-485F-AA70-0B18813ED6C3}" type="pres">
      <dgm:prSet presAssocID="{47BAE27E-9487-45E3-AB1B-03B4A317F884}" presName="hierChild5" presStyleCnt="0"/>
      <dgm:spPr/>
    </dgm:pt>
    <dgm:pt modelId="{85667F87-3D0A-453D-A724-68956A12ED95}" type="pres">
      <dgm:prSet presAssocID="{267D3B82-B929-444F-BA98-45BDDDA65E01}" presName="Name37" presStyleLbl="parChTrans1D4" presStyleIdx="3" presStyleCnt="16"/>
      <dgm:spPr/>
    </dgm:pt>
    <dgm:pt modelId="{1AD76548-2D3A-44A4-9ABD-B304594C1799}" type="pres">
      <dgm:prSet presAssocID="{EADE9E23-ACB3-4E34-BA87-27A38F0231D3}" presName="hierRoot2" presStyleCnt="0">
        <dgm:presLayoutVars>
          <dgm:hierBranch val="init"/>
        </dgm:presLayoutVars>
      </dgm:prSet>
      <dgm:spPr/>
    </dgm:pt>
    <dgm:pt modelId="{5B877641-1D4D-4DBA-9B9F-F2AB39DEA74B}" type="pres">
      <dgm:prSet presAssocID="{EADE9E23-ACB3-4E34-BA87-27A38F0231D3}" presName="rootComposite" presStyleCnt="0"/>
      <dgm:spPr/>
    </dgm:pt>
    <dgm:pt modelId="{40EE3F0E-7F4C-4EC8-A633-9BC7979E4608}" type="pres">
      <dgm:prSet presAssocID="{EADE9E23-ACB3-4E34-BA87-27A38F0231D3}" presName="rootText" presStyleLbl="node4" presStyleIdx="3" presStyleCnt="16" custLinFactY="100000" custLinFactNeighborX="462" custLinFactNeighborY="130695">
        <dgm:presLayoutVars>
          <dgm:chPref val="3"/>
        </dgm:presLayoutVars>
      </dgm:prSet>
      <dgm:spPr/>
    </dgm:pt>
    <dgm:pt modelId="{8633D2D5-7884-4A2F-976D-90F36C9A2FB1}" type="pres">
      <dgm:prSet presAssocID="{EADE9E23-ACB3-4E34-BA87-27A38F0231D3}" presName="rootConnector" presStyleLbl="node4" presStyleIdx="3" presStyleCnt="16"/>
      <dgm:spPr/>
    </dgm:pt>
    <dgm:pt modelId="{48F77BE3-AFA0-409A-BC18-091002F5A5A5}" type="pres">
      <dgm:prSet presAssocID="{EADE9E23-ACB3-4E34-BA87-27A38F0231D3}" presName="hierChild4" presStyleCnt="0"/>
      <dgm:spPr/>
    </dgm:pt>
    <dgm:pt modelId="{8A462A35-979E-4289-B33A-0F85C00AD755}" type="pres">
      <dgm:prSet presAssocID="{EADE9E23-ACB3-4E34-BA87-27A38F0231D3}" presName="hierChild5" presStyleCnt="0"/>
      <dgm:spPr/>
    </dgm:pt>
    <dgm:pt modelId="{313CC449-35A1-472F-80F9-C24669D1EB6A}" type="pres">
      <dgm:prSet presAssocID="{017C5C78-AF23-48EA-8DAB-B1F948312037}" presName="Name37" presStyleLbl="parChTrans1D4" presStyleIdx="4" presStyleCnt="16"/>
      <dgm:spPr/>
    </dgm:pt>
    <dgm:pt modelId="{28974573-65ED-49E4-A560-145192818D5A}" type="pres">
      <dgm:prSet presAssocID="{85E05176-AD20-48C6-B297-29EC668DA93B}" presName="hierRoot2" presStyleCnt="0">
        <dgm:presLayoutVars>
          <dgm:hierBranch val="init"/>
        </dgm:presLayoutVars>
      </dgm:prSet>
      <dgm:spPr/>
    </dgm:pt>
    <dgm:pt modelId="{BC4B11C0-790C-42CB-B33F-D67666F9B4B0}" type="pres">
      <dgm:prSet presAssocID="{85E05176-AD20-48C6-B297-29EC668DA93B}" presName="rootComposite" presStyleCnt="0"/>
      <dgm:spPr/>
    </dgm:pt>
    <dgm:pt modelId="{18912215-AD19-4582-82E0-ECF19D0D6931}" type="pres">
      <dgm:prSet presAssocID="{85E05176-AD20-48C6-B297-29EC668DA93B}" presName="rootText" presStyleLbl="node4" presStyleIdx="4" presStyleCnt="16" custLinFactY="100000" custLinFactNeighborX="1908" custLinFactNeighborY="110100">
        <dgm:presLayoutVars>
          <dgm:chPref val="3"/>
        </dgm:presLayoutVars>
      </dgm:prSet>
      <dgm:spPr/>
    </dgm:pt>
    <dgm:pt modelId="{EC2DD2F7-A698-482F-8E7D-B35F02E4BE57}" type="pres">
      <dgm:prSet presAssocID="{85E05176-AD20-48C6-B297-29EC668DA93B}" presName="rootConnector" presStyleLbl="node4" presStyleIdx="4" presStyleCnt="16"/>
      <dgm:spPr/>
    </dgm:pt>
    <dgm:pt modelId="{985C708A-0DBA-43E0-A44B-577E3053DFE3}" type="pres">
      <dgm:prSet presAssocID="{85E05176-AD20-48C6-B297-29EC668DA93B}" presName="hierChild4" presStyleCnt="0"/>
      <dgm:spPr/>
    </dgm:pt>
    <dgm:pt modelId="{12CD1386-0149-4382-B5CA-5BDB6B0937C9}" type="pres">
      <dgm:prSet presAssocID="{85E05176-AD20-48C6-B297-29EC668DA93B}" presName="hierChild5" presStyleCnt="0"/>
      <dgm:spPr/>
    </dgm:pt>
    <dgm:pt modelId="{C89A0525-9B56-498A-9974-E194D186A96B}" type="pres">
      <dgm:prSet presAssocID="{10E11834-819E-41DD-A57A-0A41430DD021}" presName="Name37" presStyleLbl="parChTrans1D4" presStyleIdx="5" presStyleCnt="16"/>
      <dgm:spPr/>
    </dgm:pt>
    <dgm:pt modelId="{339A6441-5E76-48EE-8F1D-DC554DAFE985}" type="pres">
      <dgm:prSet presAssocID="{9FC610A7-1D19-4DB3-8906-A24FBFD0A042}" presName="hierRoot2" presStyleCnt="0">
        <dgm:presLayoutVars>
          <dgm:hierBranch val="init"/>
        </dgm:presLayoutVars>
      </dgm:prSet>
      <dgm:spPr/>
    </dgm:pt>
    <dgm:pt modelId="{73229B1B-A4FF-4E06-BB30-A3101373551F}" type="pres">
      <dgm:prSet presAssocID="{9FC610A7-1D19-4DB3-8906-A24FBFD0A042}" presName="rootComposite" presStyleCnt="0"/>
      <dgm:spPr/>
    </dgm:pt>
    <dgm:pt modelId="{615F7F4C-3611-4433-8308-EAA63BB3953F}" type="pres">
      <dgm:prSet presAssocID="{9FC610A7-1D19-4DB3-8906-A24FBFD0A042}" presName="rootText" presStyleLbl="node4" presStyleIdx="5" presStyleCnt="16" custLinFactY="-93588" custLinFactNeighborX="-2022" custLinFactNeighborY="-100000">
        <dgm:presLayoutVars>
          <dgm:chPref val="3"/>
        </dgm:presLayoutVars>
      </dgm:prSet>
      <dgm:spPr/>
    </dgm:pt>
    <dgm:pt modelId="{2CCA4695-B444-48DB-B468-4F52625D98BD}" type="pres">
      <dgm:prSet presAssocID="{9FC610A7-1D19-4DB3-8906-A24FBFD0A042}" presName="rootConnector" presStyleLbl="node4" presStyleIdx="5" presStyleCnt="16"/>
      <dgm:spPr/>
    </dgm:pt>
    <dgm:pt modelId="{B1D2C485-823A-4E43-9D97-873C5BBBB35A}" type="pres">
      <dgm:prSet presAssocID="{9FC610A7-1D19-4DB3-8906-A24FBFD0A042}" presName="hierChild4" presStyleCnt="0"/>
      <dgm:spPr/>
    </dgm:pt>
    <dgm:pt modelId="{0C522E49-F75A-4557-BB10-704131015D63}" type="pres">
      <dgm:prSet presAssocID="{9FC610A7-1D19-4DB3-8906-A24FBFD0A042}" presName="hierChild5" presStyleCnt="0"/>
      <dgm:spPr/>
    </dgm:pt>
    <dgm:pt modelId="{1B13674D-78FF-4012-9A72-2B58CF258B9A}" type="pres">
      <dgm:prSet presAssocID="{D8C36DF9-F2A9-4F09-97E6-89EBBD2B39CF}" presName="Name37" presStyleLbl="parChTrans1D4" presStyleIdx="6" presStyleCnt="16"/>
      <dgm:spPr/>
    </dgm:pt>
    <dgm:pt modelId="{EC098576-EF09-44D1-B412-F7B0F32E12AB}" type="pres">
      <dgm:prSet presAssocID="{257AF166-01D4-4492-AA06-66E31B002ACE}" presName="hierRoot2" presStyleCnt="0">
        <dgm:presLayoutVars>
          <dgm:hierBranch val="init"/>
        </dgm:presLayoutVars>
      </dgm:prSet>
      <dgm:spPr/>
    </dgm:pt>
    <dgm:pt modelId="{6CAFC192-D1EE-4F16-8721-81D15E586988}" type="pres">
      <dgm:prSet presAssocID="{257AF166-01D4-4492-AA06-66E31B002ACE}" presName="rootComposite" presStyleCnt="0"/>
      <dgm:spPr/>
    </dgm:pt>
    <dgm:pt modelId="{889650AB-9127-477E-B314-91B01F4BE892}" type="pres">
      <dgm:prSet presAssocID="{257AF166-01D4-4492-AA06-66E31B002ACE}" presName="rootText" presStyleLbl="node4" presStyleIdx="6" presStyleCnt="16" custLinFactNeighborX="2889" custLinFactNeighborY="46239">
        <dgm:presLayoutVars>
          <dgm:chPref val="3"/>
        </dgm:presLayoutVars>
      </dgm:prSet>
      <dgm:spPr/>
    </dgm:pt>
    <dgm:pt modelId="{C5D10F7E-2D7D-4052-928E-DB35945119EA}" type="pres">
      <dgm:prSet presAssocID="{257AF166-01D4-4492-AA06-66E31B002ACE}" presName="rootConnector" presStyleLbl="node4" presStyleIdx="6" presStyleCnt="16"/>
      <dgm:spPr/>
    </dgm:pt>
    <dgm:pt modelId="{8C7C9896-37C5-4776-9257-DED7CA143F50}" type="pres">
      <dgm:prSet presAssocID="{257AF166-01D4-4492-AA06-66E31B002ACE}" presName="hierChild4" presStyleCnt="0"/>
      <dgm:spPr/>
    </dgm:pt>
    <dgm:pt modelId="{B5078880-8A83-4A82-B1DA-99BAC790A70F}" type="pres">
      <dgm:prSet presAssocID="{257AF166-01D4-4492-AA06-66E31B002ACE}" presName="hierChild5" presStyleCnt="0"/>
      <dgm:spPr/>
    </dgm:pt>
    <dgm:pt modelId="{B592EF1A-D665-4988-9731-80A484C2FD33}" type="pres">
      <dgm:prSet presAssocID="{2CC23624-44F3-4225-BE74-B393BEBC5377}" presName="Name37" presStyleLbl="parChTrans1D4" presStyleIdx="7" presStyleCnt="16"/>
      <dgm:spPr/>
    </dgm:pt>
    <dgm:pt modelId="{13B34AC3-5D90-4CA6-8A06-0138CB24B10B}" type="pres">
      <dgm:prSet presAssocID="{5C6C8AB9-3813-4133-AA63-D07AE2D6461C}" presName="hierRoot2" presStyleCnt="0">
        <dgm:presLayoutVars>
          <dgm:hierBranch val="init"/>
        </dgm:presLayoutVars>
      </dgm:prSet>
      <dgm:spPr/>
    </dgm:pt>
    <dgm:pt modelId="{E7AF0989-C615-462D-B9A7-F82BCC686D5A}" type="pres">
      <dgm:prSet presAssocID="{5C6C8AB9-3813-4133-AA63-D07AE2D6461C}" presName="rootComposite" presStyleCnt="0"/>
      <dgm:spPr/>
    </dgm:pt>
    <dgm:pt modelId="{79395CC9-51A5-4282-A953-C8D273979951}" type="pres">
      <dgm:prSet presAssocID="{5C6C8AB9-3813-4133-AA63-D07AE2D6461C}" presName="rootText" presStyleLbl="node4" presStyleIdx="7" presStyleCnt="16" custLinFactY="65703" custLinFactNeighborX="1200" custLinFactNeighborY="100000">
        <dgm:presLayoutVars>
          <dgm:chPref val="3"/>
        </dgm:presLayoutVars>
      </dgm:prSet>
      <dgm:spPr/>
    </dgm:pt>
    <dgm:pt modelId="{D5890313-D19E-41B8-8B68-E3A1E1FCE36E}" type="pres">
      <dgm:prSet presAssocID="{5C6C8AB9-3813-4133-AA63-D07AE2D6461C}" presName="rootConnector" presStyleLbl="node4" presStyleIdx="7" presStyleCnt="16"/>
      <dgm:spPr/>
    </dgm:pt>
    <dgm:pt modelId="{FC9F61FE-780C-4EBF-870F-DFCE18654566}" type="pres">
      <dgm:prSet presAssocID="{5C6C8AB9-3813-4133-AA63-D07AE2D6461C}" presName="hierChild4" presStyleCnt="0"/>
      <dgm:spPr/>
    </dgm:pt>
    <dgm:pt modelId="{8C6D5973-DA9E-45BD-8C43-BDD116645CB2}" type="pres">
      <dgm:prSet presAssocID="{5C6C8AB9-3813-4133-AA63-D07AE2D6461C}" presName="hierChild5" presStyleCnt="0"/>
      <dgm:spPr/>
    </dgm:pt>
    <dgm:pt modelId="{24114EB2-3267-414A-9E41-AD25B3B32DF2}" type="pres">
      <dgm:prSet presAssocID="{139A6FAE-13E8-41C7-91C5-A42D5AC773E4}" presName="Name37" presStyleLbl="parChTrans1D4" presStyleIdx="8" presStyleCnt="16"/>
      <dgm:spPr/>
    </dgm:pt>
    <dgm:pt modelId="{ED3ADB1C-6201-4342-B1D5-7618AA492A6A}" type="pres">
      <dgm:prSet presAssocID="{769E2AF2-08C7-4F69-B528-0034DEBC60BB}" presName="hierRoot2" presStyleCnt="0">
        <dgm:presLayoutVars>
          <dgm:hierBranch val="init"/>
        </dgm:presLayoutVars>
      </dgm:prSet>
      <dgm:spPr/>
    </dgm:pt>
    <dgm:pt modelId="{82879A08-10E7-494F-82C1-E1BDEBDBD0BC}" type="pres">
      <dgm:prSet presAssocID="{769E2AF2-08C7-4F69-B528-0034DEBC60BB}" presName="rootComposite" presStyleCnt="0"/>
      <dgm:spPr/>
    </dgm:pt>
    <dgm:pt modelId="{F7BD9E72-0E29-4167-BB17-890B826CCAA4}" type="pres">
      <dgm:prSet presAssocID="{769E2AF2-08C7-4F69-B528-0034DEBC60BB}" presName="rootText" presStyleLbl="node4" presStyleIdx="8" presStyleCnt="16" custLinFactY="-360049" custLinFactNeighborX="124" custLinFactNeighborY="-400000">
        <dgm:presLayoutVars>
          <dgm:chPref val="3"/>
        </dgm:presLayoutVars>
      </dgm:prSet>
      <dgm:spPr/>
    </dgm:pt>
    <dgm:pt modelId="{4F9CBE41-C8CD-4F09-8170-165D7B228FF1}" type="pres">
      <dgm:prSet presAssocID="{769E2AF2-08C7-4F69-B528-0034DEBC60BB}" presName="rootConnector" presStyleLbl="node4" presStyleIdx="8" presStyleCnt="16"/>
      <dgm:spPr/>
    </dgm:pt>
    <dgm:pt modelId="{6E8B7DA9-4FF4-4396-9FCA-D112561878C3}" type="pres">
      <dgm:prSet presAssocID="{769E2AF2-08C7-4F69-B528-0034DEBC60BB}" presName="hierChild4" presStyleCnt="0"/>
      <dgm:spPr/>
    </dgm:pt>
    <dgm:pt modelId="{BBDEBCE7-D849-4489-9DC3-4EA6C062F197}" type="pres">
      <dgm:prSet presAssocID="{769E2AF2-08C7-4F69-B528-0034DEBC60BB}" presName="hierChild5" presStyleCnt="0"/>
      <dgm:spPr/>
    </dgm:pt>
    <dgm:pt modelId="{4834B4B1-458A-49CF-A480-35E9BE88E0E4}" type="pres">
      <dgm:prSet presAssocID="{509A5A7C-5010-45CF-9564-EF8866B98DE4}" presName="Name37" presStyleLbl="parChTrans1D4" presStyleIdx="9" presStyleCnt="16"/>
      <dgm:spPr/>
    </dgm:pt>
    <dgm:pt modelId="{408EB5C4-28C1-4756-851F-F2715B833FA1}" type="pres">
      <dgm:prSet presAssocID="{548544BB-10E0-4D46-9672-61E9712C25E4}" presName="hierRoot2" presStyleCnt="0">
        <dgm:presLayoutVars>
          <dgm:hierBranch val="init"/>
        </dgm:presLayoutVars>
      </dgm:prSet>
      <dgm:spPr/>
    </dgm:pt>
    <dgm:pt modelId="{6D31CE6E-7301-4218-AD8E-5734181A9923}" type="pres">
      <dgm:prSet presAssocID="{548544BB-10E0-4D46-9672-61E9712C25E4}" presName="rootComposite" presStyleCnt="0"/>
      <dgm:spPr/>
    </dgm:pt>
    <dgm:pt modelId="{F3946B89-6477-4600-AAF6-F2CB22E0AC94}" type="pres">
      <dgm:prSet presAssocID="{548544BB-10E0-4D46-9672-61E9712C25E4}" presName="rootText" presStyleLbl="node4" presStyleIdx="9" presStyleCnt="16">
        <dgm:presLayoutVars>
          <dgm:chPref val="3"/>
        </dgm:presLayoutVars>
      </dgm:prSet>
      <dgm:spPr/>
    </dgm:pt>
    <dgm:pt modelId="{593FCD46-501C-43DB-B3CC-6AF3FCED48F1}" type="pres">
      <dgm:prSet presAssocID="{548544BB-10E0-4D46-9672-61E9712C25E4}" presName="rootConnector" presStyleLbl="node4" presStyleIdx="9" presStyleCnt="16"/>
      <dgm:spPr/>
    </dgm:pt>
    <dgm:pt modelId="{658FCDCA-D981-469B-8532-824C0DA65679}" type="pres">
      <dgm:prSet presAssocID="{548544BB-10E0-4D46-9672-61E9712C25E4}" presName="hierChild4" presStyleCnt="0"/>
      <dgm:spPr/>
    </dgm:pt>
    <dgm:pt modelId="{3F2DC9C9-141E-49DE-B15A-A654199C7A55}" type="pres">
      <dgm:prSet presAssocID="{548544BB-10E0-4D46-9672-61E9712C25E4}" presName="hierChild5" presStyleCnt="0"/>
      <dgm:spPr/>
    </dgm:pt>
    <dgm:pt modelId="{61FE8154-8F1B-49CB-B109-08F72155D24C}" type="pres">
      <dgm:prSet presAssocID="{581DE153-F467-4D41-BD65-75EFEB1A532E}" presName="Name37" presStyleLbl="parChTrans1D4" presStyleIdx="10" presStyleCnt="16"/>
      <dgm:spPr/>
    </dgm:pt>
    <dgm:pt modelId="{2F2AA934-2BD3-41A6-B888-31740EF92D76}" type="pres">
      <dgm:prSet presAssocID="{BA1ADF91-75C0-43DD-B323-4FBAFEE963B6}" presName="hierRoot2" presStyleCnt="0">
        <dgm:presLayoutVars>
          <dgm:hierBranch val="init"/>
        </dgm:presLayoutVars>
      </dgm:prSet>
      <dgm:spPr/>
    </dgm:pt>
    <dgm:pt modelId="{4AC74CA5-1E89-4D07-87FD-3553C8DFE624}" type="pres">
      <dgm:prSet presAssocID="{BA1ADF91-75C0-43DD-B323-4FBAFEE963B6}" presName="rootComposite" presStyleCnt="0"/>
      <dgm:spPr/>
    </dgm:pt>
    <dgm:pt modelId="{D0C4C535-8F8B-434C-97BB-3E1F632C3A96}" type="pres">
      <dgm:prSet presAssocID="{BA1ADF91-75C0-43DD-B323-4FBAFEE963B6}" presName="rootText" presStyleLbl="node4" presStyleIdx="10" presStyleCnt="16" custLinFactY="-567360" custLinFactNeighborX="1" custLinFactNeighborY="-600000">
        <dgm:presLayoutVars>
          <dgm:chPref val="3"/>
        </dgm:presLayoutVars>
      </dgm:prSet>
      <dgm:spPr/>
    </dgm:pt>
    <dgm:pt modelId="{9D011998-2BB8-4D33-BB2B-C2CD055CFEA9}" type="pres">
      <dgm:prSet presAssocID="{BA1ADF91-75C0-43DD-B323-4FBAFEE963B6}" presName="rootConnector" presStyleLbl="node4" presStyleIdx="10" presStyleCnt="16"/>
      <dgm:spPr/>
    </dgm:pt>
    <dgm:pt modelId="{07238F54-2548-461F-A607-1840A4A2F994}" type="pres">
      <dgm:prSet presAssocID="{BA1ADF91-75C0-43DD-B323-4FBAFEE963B6}" presName="hierChild4" presStyleCnt="0"/>
      <dgm:spPr/>
    </dgm:pt>
    <dgm:pt modelId="{13D0300E-99AC-4123-84F0-B5040EEA84E6}" type="pres">
      <dgm:prSet presAssocID="{BA1ADF91-75C0-43DD-B323-4FBAFEE963B6}" presName="hierChild5" presStyleCnt="0"/>
      <dgm:spPr/>
    </dgm:pt>
    <dgm:pt modelId="{A2B6DAD3-0C62-4686-8EE3-5AA1AB19235D}" type="pres">
      <dgm:prSet presAssocID="{0FB60897-1D23-4E70-B4AD-B102F2022EC0}" presName="hierChild5" presStyleCnt="0"/>
      <dgm:spPr/>
    </dgm:pt>
    <dgm:pt modelId="{023F2B8F-2BE6-41E9-8A87-82A5618D4C38}" type="pres">
      <dgm:prSet presAssocID="{6B9F40C9-8F71-4C58-8A0C-CB307414309B}" presName="hierChild5" presStyleCnt="0"/>
      <dgm:spPr/>
    </dgm:pt>
    <dgm:pt modelId="{EBDD3410-B4AB-4752-918F-E0222A185495}" type="pres">
      <dgm:prSet presAssocID="{656AE4EC-5E41-4339-8506-F97DB8A50F52}" presName="Name37" presStyleLbl="parChTrans1D2" presStyleIdx="2" presStyleCnt="5"/>
      <dgm:spPr/>
    </dgm:pt>
    <dgm:pt modelId="{E0DF682B-3F20-4CBE-B35C-0C1BDC298FD1}" type="pres">
      <dgm:prSet presAssocID="{0091A2BC-101E-464C-BAA9-DB27714E3712}" presName="hierRoot2" presStyleCnt="0">
        <dgm:presLayoutVars>
          <dgm:hierBranch val="init"/>
        </dgm:presLayoutVars>
      </dgm:prSet>
      <dgm:spPr/>
    </dgm:pt>
    <dgm:pt modelId="{05935CEC-DD8F-462A-9CE2-F2A15AED6B11}" type="pres">
      <dgm:prSet presAssocID="{0091A2BC-101E-464C-BAA9-DB27714E3712}" presName="rootComposite" presStyleCnt="0"/>
      <dgm:spPr/>
    </dgm:pt>
    <dgm:pt modelId="{02417033-4F70-4833-BF9B-BE5C3C63BC58}" type="pres">
      <dgm:prSet presAssocID="{0091A2BC-101E-464C-BAA9-DB27714E3712}" presName="rootText" presStyleLbl="node2" presStyleIdx="2" presStyleCnt="5">
        <dgm:presLayoutVars>
          <dgm:chPref val="3"/>
        </dgm:presLayoutVars>
      </dgm:prSet>
      <dgm:spPr/>
    </dgm:pt>
    <dgm:pt modelId="{C117A54F-949F-40BF-8970-6A2DBF16FF60}" type="pres">
      <dgm:prSet presAssocID="{0091A2BC-101E-464C-BAA9-DB27714E3712}" presName="rootConnector" presStyleLbl="node2" presStyleIdx="2" presStyleCnt="5"/>
      <dgm:spPr/>
    </dgm:pt>
    <dgm:pt modelId="{EE28B545-053F-40E9-827D-E68233C34113}" type="pres">
      <dgm:prSet presAssocID="{0091A2BC-101E-464C-BAA9-DB27714E3712}" presName="hierChild4" presStyleCnt="0"/>
      <dgm:spPr/>
    </dgm:pt>
    <dgm:pt modelId="{1C027508-58A3-48B6-8366-B13ECCBBB8A9}" type="pres">
      <dgm:prSet presAssocID="{C6000C59-26D4-4851-9BF3-D3F6CF56E0FF}" presName="Name37" presStyleLbl="parChTrans1D3" presStyleIdx="3" presStyleCnt="7"/>
      <dgm:spPr/>
    </dgm:pt>
    <dgm:pt modelId="{66DAA0B0-CEEC-43C5-ADAF-E1CA1E4F88F9}" type="pres">
      <dgm:prSet presAssocID="{F3CE1F20-3607-41DE-9D50-779D66BA2B7D}" presName="hierRoot2" presStyleCnt="0">
        <dgm:presLayoutVars>
          <dgm:hierBranch val="init"/>
        </dgm:presLayoutVars>
      </dgm:prSet>
      <dgm:spPr/>
    </dgm:pt>
    <dgm:pt modelId="{44B107A0-F8B9-47A4-B6C7-4A2FA76F84CC}" type="pres">
      <dgm:prSet presAssocID="{F3CE1F20-3607-41DE-9D50-779D66BA2B7D}" presName="rootComposite" presStyleCnt="0"/>
      <dgm:spPr/>
    </dgm:pt>
    <dgm:pt modelId="{CBDC2364-FA9C-478D-88EC-BCDD821A9313}" type="pres">
      <dgm:prSet presAssocID="{F3CE1F20-3607-41DE-9D50-779D66BA2B7D}" presName="rootText" presStyleLbl="node3" presStyleIdx="3" presStyleCnt="7">
        <dgm:presLayoutVars>
          <dgm:chPref val="3"/>
        </dgm:presLayoutVars>
      </dgm:prSet>
      <dgm:spPr/>
    </dgm:pt>
    <dgm:pt modelId="{EF7B3DDA-94EF-4895-8CF1-E774C0AD948C}" type="pres">
      <dgm:prSet presAssocID="{F3CE1F20-3607-41DE-9D50-779D66BA2B7D}" presName="rootConnector" presStyleLbl="node3" presStyleIdx="3" presStyleCnt="7"/>
      <dgm:spPr/>
    </dgm:pt>
    <dgm:pt modelId="{5EA22234-D0E5-4B29-B345-DE509CEEDCC1}" type="pres">
      <dgm:prSet presAssocID="{F3CE1F20-3607-41DE-9D50-779D66BA2B7D}" presName="hierChild4" presStyleCnt="0"/>
      <dgm:spPr/>
    </dgm:pt>
    <dgm:pt modelId="{17E52FFD-D7C4-4AE1-86ED-DC8CE3F9891F}" type="pres">
      <dgm:prSet presAssocID="{98590495-B328-43FA-A3F6-B596D2F37422}" presName="Name37" presStyleLbl="parChTrans1D4" presStyleIdx="11" presStyleCnt="16"/>
      <dgm:spPr/>
    </dgm:pt>
    <dgm:pt modelId="{17E8E3A0-9D82-476F-8EE1-B94B686ED428}" type="pres">
      <dgm:prSet presAssocID="{D61F9809-8760-445E-992E-0B0AAF2AE482}" presName="hierRoot2" presStyleCnt="0">
        <dgm:presLayoutVars>
          <dgm:hierBranch val="init"/>
        </dgm:presLayoutVars>
      </dgm:prSet>
      <dgm:spPr/>
    </dgm:pt>
    <dgm:pt modelId="{B272A70E-B074-4F4C-A7A8-5D26CBBE7DB6}" type="pres">
      <dgm:prSet presAssocID="{D61F9809-8760-445E-992E-0B0AAF2AE482}" presName="rootComposite" presStyleCnt="0"/>
      <dgm:spPr/>
    </dgm:pt>
    <dgm:pt modelId="{06ECBB3A-A4A2-4E90-9605-3E4CE2C464D7}" type="pres">
      <dgm:prSet presAssocID="{D61F9809-8760-445E-992E-0B0AAF2AE482}" presName="rootText" presStyleLbl="node4" presStyleIdx="11" presStyleCnt="16">
        <dgm:presLayoutVars>
          <dgm:chPref val="3"/>
        </dgm:presLayoutVars>
      </dgm:prSet>
      <dgm:spPr/>
    </dgm:pt>
    <dgm:pt modelId="{0630A6DD-830B-4BAB-9CEE-93438D58DCB4}" type="pres">
      <dgm:prSet presAssocID="{D61F9809-8760-445E-992E-0B0AAF2AE482}" presName="rootConnector" presStyleLbl="node4" presStyleIdx="11" presStyleCnt="16"/>
      <dgm:spPr/>
    </dgm:pt>
    <dgm:pt modelId="{37E9140C-654D-4CF8-B42E-B72D58FED694}" type="pres">
      <dgm:prSet presAssocID="{D61F9809-8760-445E-992E-0B0AAF2AE482}" presName="hierChild4" presStyleCnt="0"/>
      <dgm:spPr/>
    </dgm:pt>
    <dgm:pt modelId="{4C9C49D5-7501-4350-9EAF-B1DAF2C8B35E}" type="pres">
      <dgm:prSet presAssocID="{D61F9809-8760-445E-992E-0B0AAF2AE482}" presName="hierChild5" presStyleCnt="0"/>
      <dgm:spPr/>
    </dgm:pt>
    <dgm:pt modelId="{1EB9B82D-4EC7-47EF-BF11-1C4ED13CB71D}" type="pres">
      <dgm:prSet presAssocID="{C2112F6B-BC3B-4C20-9A5A-2A0ED9B7A073}" presName="Name37" presStyleLbl="parChTrans1D4" presStyleIdx="12" presStyleCnt="16"/>
      <dgm:spPr/>
    </dgm:pt>
    <dgm:pt modelId="{5A6B92D8-4580-473C-A936-13AAC33E2B7D}" type="pres">
      <dgm:prSet presAssocID="{9714A519-1AA3-40A3-A42A-F7677A426616}" presName="hierRoot2" presStyleCnt="0">
        <dgm:presLayoutVars>
          <dgm:hierBranch val="init"/>
        </dgm:presLayoutVars>
      </dgm:prSet>
      <dgm:spPr/>
    </dgm:pt>
    <dgm:pt modelId="{E8C1E883-3B58-47B5-B4BB-0A714BE77011}" type="pres">
      <dgm:prSet presAssocID="{9714A519-1AA3-40A3-A42A-F7677A426616}" presName="rootComposite" presStyleCnt="0"/>
      <dgm:spPr/>
    </dgm:pt>
    <dgm:pt modelId="{7CFEB5C5-DB95-4C1C-BB46-9BCE3FCC08A9}" type="pres">
      <dgm:prSet presAssocID="{9714A519-1AA3-40A3-A42A-F7677A426616}" presName="rootText" presStyleLbl="node4" presStyleIdx="12" presStyleCnt="16">
        <dgm:presLayoutVars>
          <dgm:chPref val="3"/>
        </dgm:presLayoutVars>
      </dgm:prSet>
      <dgm:spPr/>
    </dgm:pt>
    <dgm:pt modelId="{38B87495-7E86-4B86-AD1D-C84B2553C622}" type="pres">
      <dgm:prSet presAssocID="{9714A519-1AA3-40A3-A42A-F7677A426616}" presName="rootConnector" presStyleLbl="node4" presStyleIdx="12" presStyleCnt="16"/>
      <dgm:spPr/>
    </dgm:pt>
    <dgm:pt modelId="{95DE60DC-FFDE-432A-B943-ACEA42D3E62C}" type="pres">
      <dgm:prSet presAssocID="{9714A519-1AA3-40A3-A42A-F7677A426616}" presName="hierChild4" presStyleCnt="0"/>
      <dgm:spPr/>
    </dgm:pt>
    <dgm:pt modelId="{0F1CD0FE-D543-431F-9839-E386312603D3}" type="pres">
      <dgm:prSet presAssocID="{9714A519-1AA3-40A3-A42A-F7677A426616}" presName="hierChild5" presStyleCnt="0"/>
      <dgm:spPr/>
    </dgm:pt>
    <dgm:pt modelId="{648812C7-002A-44DD-B9BE-60091A132EE0}" type="pres">
      <dgm:prSet presAssocID="{3F8AD065-BF66-4B39-BF44-B0D5CEC0DC70}" presName="Name37" presStyleLbl="parChTrans1D4" presStyleIdx="13" presStyleCnt="16"/>
      <dgm:spPr/>
    </dgm:pt>
    <dgm:pt modelId="{D1AE7CE3-2726-42E4-995D-F9BAE2259ACE}" type="pres">
      <dgm:prSet presAssocID="{63F2F430-FD87-40D3-93B0-0C7164AB4230}" presName="hierRoot2" presStyleCnt="0">
        <dgm:presLayoutVars>
          <dgm:hierBranch val="init"/>
        </dgm:presLayoutVars>
      </dgm:prSet>
      <dgm:spPr/>
    </dgm:pt>
    <dgm:pt modelId="{AF37E1FC-3DAB-45F4-94C0-BE69CB7E3E37}" type="pres">
      <dgm:prSet presAssocID="{63F2F430-FD87-40D3-93B0-0C7164AB4230}" presName="rootComposite" presStyleCnt="0"/>
      <dgm:spPr/>
    </dgm:pt>
    <dgm:pt modelId="{2CA39FCB-1F29-4383-9FF6-3FC9F1864DDA}" type="pres">
      <dgm:prSet presAssocID="{63F2F430-FD87-40D3-93B0-0C7164AB4230}" presName="rootText" presStyleLbl="node4" presStyleIdx="13" presStyleCnt="16">
        <dgm:presLayoutVars>
          <dgm:chPref val="3"/>
        </dgm:presLayoutVars>
      </dgm:prSet>
      <dgm:spPr/>
    </dgm:pt>
    <dgm:pt modelId="{C72EEDF8-4603-4BF3-AECB-3F23D8E33765}" type="pres">
      <dgm:prSet presAssocID="{63F2F430-FD87-40D3-93B0-0C7164AB4230}" presName="rootConnector" presStyleLbl="node4" presStyleIdx="13" presStyleCnt="16"/>
      <dgm:spPr/>
    </dgm:pt>
    <dgm:pt modelId="{54E5F36A-C473-41BA-A337-0121B107B28F}" type="pres">
      <dgm:prSet presAssocID="{63F2F430-FD87-40D3-93B0-0C7164AB4230}" presName="hierChild4" presStyleCnt="0"/>
      <dgm:spPr/>
    </dgm:pt>
    <dgm:pt modelId="{88288E07-077F-4070-B920-BCBE95B8A94A}" type="pres">
      <dgm:prSet presAssocID="{63F2F430-FD87-40D3-93B0-0C7164AB4230}" presName="hierChild5" presStyleCnt="0"/>
      <dgm:spPr/>
    </dgm:pt>
    <dgm:pt modelId="{DE6A658E-981D-43EC-89C2-4450D2869B07}" type="pres">
      <dgm:prSet presAssocID="{ACEC2FF5-BA67-478C-88EA-C61AE948BA0A}" presName="Name37" presStyleLbl="parChTrans1D4" presStyleIdx="14" presStyleCnt="16"/>
      <dgm:spPr/>
    </dgm:pt>
    <dgm:pt modelId="{EA97781D-11EF-4D8E-8443-B21D836837C6}" type="pres">
      <dgm:prSet presAssocID="{C00BDA59-49DC-45E3-9B70-7655B322F466}" presName="hierRoot2" presStyleCnt="0">
        <dgm:presLayoutVars>
          <dgm:hierBranch val="init"/>
        </dgm:presLayoutVars>
      </dgm:prSet>
      <dgm:spPr/>
    </dgm:pt>
    <dgm:pt modelId="{69B5973D-F3E5-4E29-98BA-00349FAF8C4A}" type="pres">
      <dgm:prSet presAssocID="{C00BDA59-49DC-45E3-9B70-7655B322F466}" presName="rootComposite" presStyleCnt="0"/>
      <dgm:spPr/>
    </dgm:pt>
    <dgm:pt modelId="{78D88209-ABE9-46F7-955D-6121E7F0D3E3}" type="pres">
      <dgm:prSet presAssocID="{C00BDA59-49DC-45E3-9B70-7655B322F466}" presName="rootText" presStyleLbl="node4" presStyleIdx="14" presStyleCnt="16">
        <dgm:presLayoutVars>
          <dgm:chPref val="3"/>
        </dgm:presLayoutVars>
      </dgm:prSet>
      <dgm:spPr/>
    </dgm:pt>
    <dgm:pt modelId="{158BA06C-740C-4EFE-86F9-0D6BC0153370}" type="pres">
      <dgm:prSet presAssocID="{C00BDA59-49DC-45E3-9B70-7655B322F466}" presName="rootConnector" presStyleLbl="node4" presStyleIdx="14" presStyleCnt="16"/>
      <dgm:spPr/>
    </dgm:pt>
    <dgm:pt modelId="{04557AEC-87F0-41A4-8003-FA3AD6A67E6B}" type="pres">
      <dgm:prSet presAssocID="{C00BDA59-49DC-45E3-9B70-7655B322F466}" presName="hierChild4" presStyleCnt="0"/>
      <dgm:spPr/>
    </dgm:pt>
    <dgm:pt modelId="{0C342EA4-907D-47F8-B66B-9E4B9F519933}" type="pres">
      <dgm:prSet presAssocID="{C00BDA59-49DC-45E3-9B70-7655B322F466}" presName="hierChild5" presStyleCnt="0"/>
      <dgm:spPr/>
    </dgm:pt>
    <dgm:pt modelId="{D62E7ED7-C0F3-43DA-9E0D-BD696A126343}" type="pres">
      <dgm:prSet presAssocID="{D2B213CD-8CC8-43C4-BDF1-E0CB054DDC5B}" presName="Name37" presStyleLbl="parChTrans1D4" presStyleIdx="15" presStyleCnt="16"/>
      <dgm:spPr/>
    </dgm:pt>
    <dgm:pt modelId="{132CE22A-FFE7-4B3C-807E-60EBC626E20D}" type="pres">
      <dgm:prSet presAssocID="{9D0CC937-0EBF-4C39-BC02-F33D0D338B6A}" presName="hierRoot2" presStyleCnt="0">
        <dgm:presLayoutVars>
          <dgm:hierBranch val="init"/>
        </dgm:presLayoutVars>
      </dgm:prSet>
      <dgm:spPr/>
    </dgm:pt>
    <dgm:pt modelId="{4EB7FDA7-3005-4884-B52F-C00B0734E87B}" type="pres">
      <dgm:prSet presAssocID="{9D0CC937-0EBF-4C39-BC02-F33D0D338B6A}" presName="rootComposite" presStyleCnt="0"/>
      <dgm:spPr/>
    </dgm:pt>
    <dgm:pt modelId="{5750D2DB-7BD0-4C88-9D71-601C9F4013F0}" type="pres">
      <dgm:prSet presAssocID="{9D0CC937-0EBF-4C39-BC02-F33D0D338B6A}" presName="rootText" presStyleLbl="node4" presStyleIdx="15" presStyleCnt="16">
        <dgm:presLayoutVars>
          <dgm:chPref val="3"/>
        </dgm:presLayoutVars>
      </dgm:prSet>
      <dgm:spPr/>
    </dgm:pt>
    <dgm:pt modelId="{1AB57DBC-4E53-42DD-992F-241C1AF0B8CB}" type="pres">
      <dgm:prSet presAssocID="{9D0CC937-0EBF-4C39-BC02-F33D0D338B6A}" presName="rootConnector" presStyleLbl="node4" presStyleIdx="15" presStyleCnt="16"/>
      <dgm:spPr/>
    </dgm:pt>
    <dgm:pt modelId="{74A7D32D-8423-4FC7-906E-0EF94E680454}" type="pres">
      <dgm:prSet presAssocID="{9D0CC937-0EBF-4C39-BC02-F33D0D338B6A}" presName="hierChild4" presStyleCnt="0"/>
      <dgm:spPr/>
    </dgm:pt>
    <dgm:pt modelId="{C3294760-5931-48B5-8EB7-78C9F6ABF76B}" type="pres">
      <dgm:prSet presAssocID="{9D0CC937-0EBF-4C39-BC02-F33D0D338B6A}" presName="hierChild5" presStyleCnt="0"/>
      <dgm:spPr/>
    </dgm:pt>
    <dgm:pt modelId="{F13803B8-0F85-409D-924B-54160901B525}" type="pres">
      <dgm:prSet presAssocID="{F3CE1F20-3607-41DE-9D50-779D66BA2B7D}" presName="hierChild5" presStyleCnt="0"/>
      <dgm:spPr/>
    </dgm:pt>
    <dgm:pt modelId="{DB941933-2924-4309-8259-19C66092594E}" type="pres">
      <dgm:prSet presAssocID="{0091A2BC-101E-464C-BAA9-DB27714E3712}" presName="hierChild5" presStyleCnt="0"/>
      <dgm:spPr/>
    </dgm:pt>
    <dgm:pt modelId="{CE85D3B1-2383-49A9-8B12-CD03CD11E859}" type="pres">
      <dgm:prSet presAssocID="{F3C42B2E-5AD0-441C-B8DF-BF654F005B29}" presName="Name37" presStyleLbl="parChTrans1D2" presStyleIdx="3" presStyleCnt="5"/>
      <dgm:spPr/>
    </dgm:pt>
    <dgm:pt modelId="{C74CE25E-B6C5-4AC6-A25D-D1C698E71FF3}" type="pres">
      <dgm:prSet presAssocID="{CFF4E675-99F0-476A-A4EF-B0CBDA2F17C2}" presName="hierRoot2" presStyleCnt="0">
        <dgm:presLayoutVars>
          <dgm:hierBranch val="init"/>
        </dgm:presLayoutVars>
      </dgm:prSet>
      <dgm:spPr/>
    </dgm:pt>
    <dgm:pt modelId="{3A156904-45C9-4C08-B7E3-5297E8590A1F}" type="pres">
      <dgm:prSet presAssocID="{CFF4E675-99F0-476A-A4EF-B0CBDA2F17C2}" presName="rootComposite" presStyleCnt="0"/>
      <dgm:spPr/>
    </dgm:pt>
    <dgm:pt modelId="{4A6662A2-1504-40CD-AF64-F5F57F951942}" type="pres">
      <dgm:prSet presAssocID="{CFF4E675-99F0-476A-A4EF-B0CBDA2F17C2}" presName="rootText" presStyleLbl="node2" presStyleIdx="3" presStyleCnt="5">
        <dgm:presLayoutVars>
          <dgm:chPref val="3"/>
        </dgm:presLayoutVars>
      </dgm:prSet>
      <dgm:spPr/>
    </dgm:pt>
    <dgm:pt modelId="{1B495F72-4A0D-46BB-B84F-BEBC0F7CE239}" type="pres">
      <dgm:prSet presAssocID="{CFF4E675-99F0-476A-A4EF-B0CBDA2F17C2}" presName="rootConnector" presStyleLbl="node2" presStyleIdx="3" presStyleCnt="5"/>
      <dgm:spPr/>
    </dgm:pt>
    <dgm:pt modelId="{6F40142D-A64C-422D-9270-D852D228731B}" type="pres">
      <dgm:prSet presAssocID="{CFF4E675-99F0-476A-A4EF-B0CBDA2F17C2}" presName="hierChild4" presStyleCnt="0"/>
      <dgm:spPr/>
    </dgm:pt>
    <dgm:pt modelId="{73EEF80B-D0D3-4D30-8453-1B9D01227862}" type="pres">
      <dgm:prSet presAssocID="{C9005D0D-19CB-4799-BDC9-3D02BA6BD455}" presName="Name37" presStyleLbl="parChTrans1D3" presStyleIdx="4" presStyleCnt="7"/>
      <dgm:spPr/>
    </dgm:pt>
    <dgm:pt modelId="{34C37452-7E1C-41AF-AA2C-ADAFC94295CE}" type="pres">
      <dgm:prSet presAssocID="{E09CB425-B9EC-412D-B385-F68F9F762002}" presName="hierRoot2" presStyleCnt="0">
        <dgm:presLayoutVars>
          <dgm:hierBranch val="init"/>
        </dgm:presLayoutVars>
      </dgm:prSet>
      <dgm:spPr/>
    </dgm:pt>
    <dgm:pt modelId="{34A96B98-886E-4D3C-BBC3-2AE950A06F96}" type="pres">
      <dgm:prSet presAssocID="{E09CB425-B9EC-412D-B385-F68F9F762002}" presName="rootComposite" presStyleCnt="0"/>
      <dgm:spPr/>
    </dgm:pt>
    <dgm:pt modelId="{A522D678-6637-4220-9424-9A76DF65585E}" type="pres">
      <dgm:prSet presAssocID="{E09CB425-B9EC-412D-B385-F68F9F762002}" presName="rootText" presStyleLbl="node3" presStyleIdx="4" presStyleCnt="7" custLinFactNeighborY="0">
        <dgm:presLayoutVars>
          <dgm:chPref val="3"/>
        </dgm:presLayoutVars>
      </dgm:prSet>
      <dgm:spPr/>
    </dgm:pt>
    <dgm:pt modelId="{B942C116-9D45-438D-A41E-D951B6AABE44}" type="pres">
      <dgm:prSet presAssocID="{E09CB425-B9EC-412D-B385-F68F9F762002}" presName="rootConnector" presStyleLbl="node3" presStyleIdx="4" presStyleCnt="7"/>
      <dgm:spPr/>
    </dgm:pt>
    <dgm:pt modelId="{7B5C5EEE-1333-44CC-B381-59CE2406F8E9}" type="pres">
      <dgm:prSet presAssocID="{E09CB425-B9EC-412D-B385-F68F9F762002}" presName="hierChild4" presStyleCnt="0"/>
      <dgm:spPr/>
    </dgm:pt>
    <dgm:pt modelId="{A590E110-4B01-4699-9184-951B9A7A64CC}" type="pres">
      <dgm:prSet presAssocID="{E09CB425-B9EC-412D-B385-F68F9F762002}" presName="hierChild5" presStyleCnt="0"/>
      <dgm:spPr/>
    </dgm:pt>
    <dgm:pt modelId="{65A1E068-E115-4C5A-BD26-313C36DA9032}" type="pres">
      <dgm:prSet presAssocID="{CFF4E675-99F0-476A-A4EF-B0CBDA2F17C2}" presName="hierChild5" presStyleCnt="0"/>
      <dgm:spPr/>
    </dgm:pt>
    <dgm:pt modelId="{D63BEE42-DC79-4DD1-9248-2FA14B5038F8}" type="pres">
      <dgm:prSet presAssocID="{73BDD3C4-131F-42BC-A541-038E01CFB895}" presName="Name37" presStyleLbl="parChTrans1D2" presStyleIdx="4" presStyleCnt="5"/>
      <dgm:spPr/>
    </dgm:pt>
    <dgm:pt modelId="{EFA6555E-B7EE-43DC-9B17-87441E6F97E7}" type="pres">
      <dgm:prSet presAssocID="{F0F8D1A4-E062-4713-9584-64AD89115A5D}" presName="hierRoot2" presStyleCnt="0">
        <dgm:presLayoutVars>
          <dgm:hierBranch val="init"/>
        </dgm:presLayoutVars>
      </dgm:prSet>
      <dgm:spPr/>
    </dgm:pt>
    <dgm:pt modelId="{56798B15-C5CE-40EA-B5F2-A4CD7B662442}" type="pres">
      <dgm:prSet presAssocID="{F0F8D1A4-E062-4713-9584-64AD89115A5D}" presName="rootComposite" presStyleCnt="0"/>
      <dgm:spPr/>
    </dgm:pt>
    <dgm:pt modelId="{8599A985-43DE-4515-87ED-DBCF0CEFDD03}" type="pres">
      <dgm:prSet presAssocID="{F0F8D1A4-E062-4713-9584-64AD89115A5D}" presName="rootText" presStyleLbl="node2" presStyleIdx="4" presStyleCnt="5">
        <dgm:presLayoutVars>
          <dgm:chPref val="3"/>
        </dgm:presLayoutVars>
      </dgm:prSet>
      <dgm:spPr/>
    </dgm:pt>
    <dgm:pt modelId="{BF614AC0-45A0-401A-9AFD-DBB7B2862E6D}" type="pres">
      <dgm:prSet presAssocID="{F0F8D1A4-E062-4713-9584-64AD89115A5D}" presName="rootConnector" presStyleLbl="node2" presStyleIdx="4" presStyleCnt="5"/>
      <dgm:spPr/>
    </dgm:pt>
    <dgm:pt modelId="{5826FB9C-8B01-4F1B-8B19-A494276AEAD4}" type="pres">
      <dgm:prSet presAssocID="{F0F8D1A4-E062-4713-9584-64AD89115A5D}" presName="hierChild4" presStyleCnt="0"/>
      <dgm:spPr/>
    </dgm:pt>
    <dgm:pt modelId="{175388DB-0E91-4085-AE87-F2DD905F32DC}" type="pres">
      <dgm:prSet presAssocID="{2836CADD-9F3E-4F0E-9822-CFFD08AED70A}" presName="Name37" presStyleLbl="parChTrans1D3" presStyleIdx="5" presStyleCnt="7"/>
      <dgm:spPr/>
    </dgm:pt>
    <dgm:pt modelId="{0B9B6C98-C4D7-4F06-8FFB-6F77EAA63ED2}" type="pres">
      <dgm:prSet presAssocID="{68A8CB83-99AF-44EB-BF9D-5F5E79D0380E}" presName="hierRoot2" presStyleCnt="0">
        <dgm:presLayoutVars>
          <dgm:hierBranch val="init"/>
        </dgm:presLayoutVars>
      </dgm:prSet>
      <dgm:spPr/>
    </dgm:pt>
    <dgm:pt modelId="{A5C225FC-487F-4542-B2A6-6366EC516C53}" type="pres">
      <dgm:prSet presAssocID="{68A8CB83-99AF-44EB-BF9D-5F5E79D0380E}" presName="rootComposite" presStyleCnt="0"/>
      <dgm:spPr/>
    </dgm:pt>
    <dgm:pt modelId="{5D9E1259-8D18-4BAD-9864-B00D9E466AF3}" type="pres">
      <dgm:prSet presAssocID="{68A8CB83-99AF-44EB-BF9D-5F5E79D0380E}" presName="rootText" presStyleLbl="node3" presStyleIdx="5" presStyleCnt="7">
        <dgm:presLayoutVars>
          <dgm:chPref val="3"/>
        </dgm:presLayoutVars>
      </dgm:prSet>
      <dgm:spPr/>
    </dgm:pt>
    <dgm:pt modelId="{956B9E93-765D-4C54-91F4-713982393EEC}" type="pres">
      <dgm:prSet presAssocID="{68A8CB83-99AF-44EB-BF9D-5F5E79D0380E}" presName="rootConnector" presStyleLbl="node3" presStyleIdx="5" presStyleCnt="7"/>
      <dgm:spPr/>
    </dgm:pt>
    <dgm:pt modelId="{4F672556-693F-4C44-BA40-B8B64322BD7D}" type="pres">
      <dgm:prSet presAssocID="{68A8CB83-99AF-44EB-BF9D-5F5E79D0380E}" presName="hierChild4" presStyleCnt="0"/>
      <dgm:spPr/>
    </dgm:pt>
    <dgm:pt modelId="{5C299ABC-3FF5-43B9-873A-318DFF3EB0B8}" type="pres">
      <dgm:prSet presAssocID="{68A8CB83-99AF-44EB-BF9D-5F5E79D0380E}" presName="hierChild5" presStyleCnt="0"/>
      <dgm:spPr/>
    </dgm:pt>
    <dgm:pt modelId="{E93D9FD7-D372-4E72-B729-490B695020FC}" type="pres">
      <dgm:prSet presAssocID="{ACC4923E-EF19-4695-B0BF-F579A4296317}" presName="Name37" presStyleLbl="parChTrans1D3" presStyleIdx="6" presStyleCnt="7"/>
      <dgm:spPr/>
    </dgm:pt>
    <dgm:pt modelId="{29E54E6B-3D4E-4B7E-A2FA-30D1F9CBCEE2}" type="pres">
      <dgm:prSet presAssocID="{76891361-952C-4E19-B168-ACCBD94A6621}" presName="hierRoot2" presStyleCnt="0">
        <dgm:presLayoutVars>
          <dgm:hierBranch val="init"/>
        </dgm:presLayoutVars>
      </dgm:prSet>
      <dgm:spPr/>
    </dgm:pt>
    <dgm:pt modelId="{4FEB0938-21BD-4530-A56C-A388D50EF4EF}" type="pres">
      <dgm:prSet presAssocID="{76891361-952C-4E19-B168-ACCBD94A6621}" presName="rootComposite" presStyleCnt="0"/>
      <dgm:spPr/>
    </dgm:pt>
    <dgm:pt modelId="{A867A694-B0A1-4F08-81CC-145963D862E4}" type="pres">
      <dgm:prSet presAssocID="{76891361-952C-4E19-B168-ACCBD94A6621}" presName="rootText" presStyleLbl="node3" presStyleIdx="6" presStyleCnt="7">
        <dgm:presLayoutVars>
          <dgm:chPref val="3"/>
        </dgm:presLayoutVars>
      </dgm:prSet>
      <dgm:spPr/>
    </dgm:pt>
    <dgm:pt modelId="{740A2B0A-2C7B-4042-962C-CE33E679C009}" type="pres">
      <dgm:prSet presAssocID="{76891361-952C-4E19-B168-ACCBD94A6621}" presName="rootConnector" presStyleLbl="node3" presStyleIdx="6" presStyleCnt="7"/>
      <dgm:spPr/>
    </dgm:pt>
    <dgm:pt modelId="{918686E1-9CFF-4574-B7EE-6CEDD925C4CA}" type="pres">
      <dgm:prSet presAssocID="{76891361-952C-4E19-B168-ACCBD94A6621}" presName="hierChild4" presStyleCnt="0"/>
      <dgm:spPr/>
    </dgm:pt>
    <dgm:pt modelId="{7354CFF7-138B-4A87-91A1-9D2A2924D6C3}" type="pres">
      <dgm:prSet presAssocID="{76891361-952C-4E19-B168-ACCBD94A6621}" presName="hierChild5" presStyleCnt="0"/>
      <dgm:spPr/>
    </dgm:pt>
    <dgm:pt modelId="{733C392A-DD3B-4CAC-98E5-B700E75056BB}" type="pres">
      <dgm:prSet presAssocID="{F0F8D1A4-E062-4713-9584-64AD89115A5D}" presName="hierChild5" presStyleCnt="0"/>
      <dgm:spPr/>
    </dgm:pt>
    <dgm:pt modelId="{B75201AC-6D19-486A-BCCE-59DAD29E7F53}" type="pres">
      <dgm:prSet presAssocID="{CC8AFE17-E51A-401A-9603-0D4983FF2551}" presName="hierChild3" presStyleCnt="0"/>
      <dgm:spPr/>
    </dgm:pt>
  </dgm:ptLst>
  <dgm:cxnLst>
    <dgm:cxn modelId="{0D6D1201-2F85-48B7-B4DF-F40C1844D6FE}" type="presOf" srcId="{C6000C59-26D4-4851-9BF3-D3F6CF56E0FF}" destId="{1C027508-58A3-48B6-8366-B13ECCBBB8A9}" srcOrd="0" destOrd="0" presId="urn:microsoft.com/office/officeart/2005/8/layout/orgChart1"/>
    <dgm:cxn modelId="{4DCC5405-9E33-4D11-86A4-12D20F819027}" type="presOf" srcId="{47BAE27E-9487-45E3-AB1B-03B4A317F884}" destId="{37134096-CEFA-4402-B379-C62253F363C6}" srcOrd="0" destOrd="0" presId="urn:microsoft.com/office/officeart/2005/8/layout/orgChart1"/>
    <dgm:cxn modelId="{1EEC8B05-F576-4D02-A8E3-9911069F5209}" type="presOf" srcId="{C2112F6B-BC3B-4C20-9A5A-2A0ED9B7A073}" destId="{1EB9B82D-4EC7-47EF-BF11-1C4ED13CB71D}" srcOrd="0" destOrd="0" presId="urn:microsoft.com/office/officeart/2005/8/layout/orgChart1"/>
    <dgm:cxn modelId="{58E00409-36DB-4B79-8E0E-8F6B974A2F52}" type="presOf" srcId="{548544BB-10E0-4D46-9672-61E9712C25E4}" destId="{593FCD46-501C-43DB-B3CC-6AF3FCED48F1}" srcOrd="1" destOrd="0" presId="urn:microsoft.com/office/officeart/2005/8/layout/orgChart1"/>
    <dgm:cxn modelId="{879C470F-CB3D-4DD2-B1C2-9078E6FA2364}" type="presOf" srcId="{CA8F54AE-A955-45C5-B3C0-4E5A3D44BC10}" destId="{8895EAD4-1A2B-4066-90EE-3577F268900A}" srcOrd="0" destOrd="0" presId="urn:microsoft.com/office/officeart/2005/8/layout/orgChart1"/>
    <dgm:cxn modelId="{CD7FF710-0CD0-4AA0-A2AF-8087E68D9F7D}" srcId="{F0F8D1A4-E062-4713-9584-64AD89115A5D}" destId="{68A8CB83-99AF-44EB-BF9D-5F5E79D0380E}" srcOrd="0" destOrd="0" parTransId="{2836CADD-9F3E-4F0E-9822-CFFD08AED70A}" sibTransId="{78C6CAE7-C381-47EC-9CE7-AAC795517B7E}"/>
    <dgm:cxn modelId="{B00B0F14-1AAB-48A2-A904-0C90E318765E}" type="presOf" srcId="{9D0CC937-0EBF-4C39-BC02-F33D0D338B6A}" destId="{1AB57DBC-4E53-42DD-992F-241C1AF0B8CB}" srcOrd="1" destOrd="0" presId="urn:microsoft.com/office/officeart/2005/8/layout/orgChart1"/>
    <dgm:cxn modelId="{B6A79A15-E98E-4493-8CA0-560C3ED4E108}" type="presOf" srcId="{F3CE1F20-3607-41DE-9D50-779D66BA2B7D}" destId="{CBDC2364-FA9C-478D-88EC-BCDD821A9313}" srcOrd="0" destOrd="0" presId="urn:microsoft.com/office/officeart/2005/8/layout/orgChart1"/>
    <dgm:cxn modelId="{D8353C18-B91C-4AB1-91D4-4C0D3964DD79}" type="presOf" srcId="{9FC610A7-1D19-4DB3-8906-A24FBFD0A042}" destId="{2CCA4695-B444-48DB-B468-4F52625D98BD}" srcOrd="1" destOrd="0" presId="urn:microsoft.com/office/officeart/2005/8/layout/orgChart1"/>
    <dgm:cxn modelId="{F8CDFA19-50C5-4F34-85FE-4E2DB6E2890B}" type="presOf" srcId="{9714A519-1AA3-40A3-A42A-F7677A426616}" destId="{7CFEB5C5-DB95-4C1C-BB46-9BCE3FCC08A9}" srcOrd="0" destOrd="0" presId="urn:microsoft.com/office/officeart/2005/8/layout/orgChart1"/>
    <dgm:cxn modelId="{A0C44A1B-3D60-45CC-B2DE-F816F5035416}" type="presOf" srcId="{CEA1188F-7128-41D8-829F-50805DFADED3}" destId="{17554B4F-D54C-4A1A-B87D-A245F297DE8C}" srcOrd="1" destOrd="0" presId="urn:microsoft.com/office/officeart/2005/8/layout/orgChart1"/>
    <dgm:cxn modelId="{B9F0901B-FFA6-4E49-9212-D300949BE131}" type="presOf" srcId="{C00BDA59-49DC-45E3-9B70-7655B322F466}" destId="{78D88209-ABE9-46F7-955D-6121E7F0D3E3}" srcOrd="0" destOrd="0" presId="urn:microsoft.com/office/officeart/2005/8/layout/orgChart1"/>
    <dgm:cxn modelId="{F775131C-AC84-4D86-BAA1-DDE7B6C23610}" type="presOf" srcId="{76891361-952C-4E19-B168-ACCBD94A6621}" destId="{A867A694-B0A1-4F08-81CC-145963D862E4}" srcOrd="0" destOrd="0" presId="urn:microsoft.com/office/officeart/2005/8/layout/orgChart1"/>
    <dgm:cxn modelId="{FEB0461C-8630-4617-8EB6-3E6E81E5D101}" type="presOf" srcId="{76891361-952C-4E19-B168-ACCBD94A6621}" destId="{740A2B0A-2C7B-4042-962C-CE33E679C009}" srcOrd="1" destOrd="0" presId="urn:microsoft.com/office/officeart/2005/8/layout/orgChart1"/>
    <dgm:cxn modelId="{6DB6871E-03D5-4C5A-9701-A19C1799FF07}" type="presOf" srcId="{5C6C8AB9-3813-4133-AA63-D07AE2D6461C}" destId="{D5890313-D19E-41B8-8B68-E3A1E1FCE36E}" srcOrd="1" destOrd="0" presId="urn:microsoft.com/office/officeart/2005/8/layout/orgChart1"/>
    <dgm:cxn modelId="{A9801023-94E0-485E-8B84-C4AC45487CAB}" type="presOf" srcId="{9714A519-1AA3-40A3-A42A-F7677A426616}" destId="{38B87495-7E86-4B86-AD1D-C84B2553C622}" srcOrd="1" destOrd="0" presId="urn:microsoft.com/office/officeart/2005/8/layout/orgChart1"/>
    <dgm:cxn modelId="{F74FA426-89D5-44EB-8370-47A97C504665}" srcId="{CC8AFE17-E51A-401A-9603-0D4983FF2551}" destId="{F0F8D1A4-E062-4713-9584-64AD89115A5D}" srcOrd="4" destOrd="0" parTransId="{73BDD3C4-131F-42BC-A541-038E01CFB895}" sibTransId="{18EEF62A-6402-4534-9D4C-FEA8E2552164}"/>
    <dgm:cxn modelId="{853D0727-9698-44E3-8991-EF0D2E33787C}" type="presOf" srcId="{CFF4E675-99F0-476A-A4EF-B0CBDA2F17C2}" destId="{4A6662A2-1504-40CD-AF64-F5F57F951942}" srcOrd="0" destOrd="0" presId="urn:microsoft.com/office/officeart/2005/8/layout/orgChart1"/>
    <dgm:cxn modelId="{17D85A27-57E0-4960-B0EA-2BD74A5EBED0}" srcId="{F3CE1F20-3607-41DE-9D50-779D66BA2B7D}" destId="{9D0CC937-0EBF-4C39-BC02-F33D0D338B6A}" srcOrd="4" destOrd="0" parTransId="{D2B213CD-8CC8-43C4-BDF1-E0CB054DDC5B}" sibTransId="{B77390DD-0AF6-4057-8520-5B5660FC9495}"/>
    <dgm:cxn modelId="{6FB3222A-C16F-4121-826D-0037D376704D}" type="presOf" srcId="{1537FE45-317E-4AF9-B925-633E93101596}" destId="{B4CB7DF9-5CB6-4F69-AC7C-0542E6DB0BD6}" srcOrd="0" destOrd="0" presId="urn:microsoft.com/office/officeart/2005/8/layout/orgChart1"/>
    <dgm:cxn modelId="{79F0542A-4A62-4ECE-9536-C25752155861}" type="presOf" srcId="{73BDD3C4-131F-42BC-A541-038E01CFB895}" destId="{D63BEE42-DC79-4DD1-9248-2FA14B5038F8}" srcOrd="0" destOrd="0" presId="urn:microsoft.com/office/officeart/2005/8/layout/orgChart1"/>
    <dgm:cxn modelId="{C93E4E2C-8234-432E-8F8D-BAFA7801283B}" srcId="{F0F8D1A4-E062-4713-9584-64AD89115A5D}" destId="{76891361-952C-4E19-B168-ACCBD94A6621}" srcOrd="1" destOrd="0" parTransId="{ACC4923E-EF19-4695-B0BF-F579A4296317}" sibTransId="{705CBF77-1EBB-4983-85C3-CD799A0EC840}"/>
    <dgm:cxn modelId="{2BD2852C-5A32-4B02-BE2D-B92CE4543E26}" type="presOf" srcId="{2836CADD-9F3E-4F0E-9822-CFFD08AED70A}" destId="{175388DB-0E91-4085-AE87-F2DD905F32DC}" srcOrd="0" destOrd="0" presId="urn:microsoft.com/office/officeart/2005/8/layout/orgChart1"/>
    <dgm:cxn modelId="{0A8F9D2D-A0C1-4171-9E49-C6D82E047F87}" type="presOf" srcId="{E6CCCBEF-B2BC-49EE-9AD3-B8D0B6BC2CF9}" destId="{008F2A8F-9915-4223-94DB-6A85F94B0272}" srcOrd="0" destOrd="0" presId="urn:microsoft.com/office/officeart/2005/8/layout/orgChart1"/>
    <dgm:cxn modelId="{A4D7CF2D-C455-4AA8-A578-B3641F93C2A0}" type="presOf" srcId="{0091A2BC-101E-464C-BAA9-DB27714E3712}" destId="{C117A54F-949F-40BF-8970-6A2DBF16FF60}" srcOrd="1" destOrd="0" presId="urn:microsoft.com/office/officeart/2005/8/layout/orgChart1"/>
    <dgm:cxn modelId="{8FAAEF31-FBB7-4117-9EE8-ABED690030F6}" type="presOf" srcId="{257AF166-01D4-4492-AA06-66E31B002ACE}" destId="{C5D10F7E-2D7D-4052-928E-DB35945119EA}" srcOrd="1" destOrd="0" presId="urn:microsoft.com/office/officeart/2005/8/layout/orgChart1"/>
    <dgm:cxn modelId="{F7DD2C33-FF99-4E19-912D-F286AAE54DB6}" type="presOf" srcId="{BA1ADF91-75C0-43DD-B323-4FBAFEE963B6}" destId="{9D011998-2BB8-4D33-BB2B-C2CD055CFEA9}" srcOrd="1" destOrd="0" presId="urn:microsoft.com/office/officeart/2005/8/layout/orgChart1"/>
    <dgm:cxn modelId="{A5083236-FF88-4349-9343-ED636A9D1405}" type="presOf" srcId="{C00BDA59-49DC-45E3-9B70-7655B322F466}" destId="{158BA06C-740C-4EFE-86F9-0D6BC0153370}" srcOrd="1" destOrd="0" presId="urn:microsoft.com/office/officeart/2005/8/layout/orgChart1"/>
    <dgm:cxn modelId="{20E52438-3773-481C-8E6D-CB6E829534BB}" type="presOf" srcId="{68A8CB83-99AF-44EB-BF9D-5F5E79D0380E}" destId="{5D9E1259-8D18-4BAD-9864-B00D9E466AF3}" srcOrd="0" destOrd="0" presId="urn:microsoft.com/office/officeart/2005/8/layout/orgChart1"/>
    <dgm:cxn modelId="{2854F238-3DB1-4CAE-B81A-5C4E8D0D00C0}" srcId="{CC8AFE17-E51A-401A-9603-0D4983FF2551}" destId="{6B9F40C9-8F71-4C58-8A0C-CB307414309B}" srcOrd="1" destOrd="0" parTransId="{E6CCCBEF-B2BC-49EE-9AD3-B8D0B6BC2CF9}" sibTransId="{354EEE01-EE9F-4A6B-9CF7-0BC47AF297DB}"/>
    <dgm:cxn modelId="{EDC34939-87B7-4BBF-B538-127DB4B15DB6}" type="presOf" srcId="{E09CB425-B9EC-412D-B385-F68F9F762002}" destId="{B942C116-9D45-438D-A41E-D951B6AABE44}" srcOrd="1" destOrd="0" presId="urn:microsoft.com/office/officeart/2005/8/layout/orgChart1"/>
    <dgm:cxn modelId="{6640C339-EF13-4F44-B913-3090C8A2C9D9}" type="presOf" srcId="{F3CE1F20-3607-41DE-9D50-779D66BA2B7D}" destId="{EF7B3DDA-94EF-4895-8CF1-E774C0AD948C}" srcOrd="1" destOrd="0" presId="urn:microsoft.com/office/officeart/2005/8/layout/orgChart1"/>
    <dgm:cxn modelId="{5D766E3B-EF12-478C-96A7-8A0D2719EB2E}" type="presOf" srcId="{BA1ADF91-75C0-43DD-B323-4FBAFEE963B6}" destId="{D0C4C535-8F8B-434C-97BB-3E1F632C3A96}" srcOrd="0" destOrd="0" presId="urn:microsoft.com/office/officeart/2005/8/layout/orgChart1"/>
    <dgm:cxn modelId="{11FF813D-99A8-47D3-A33F-44AB9A30FCC2}" type="presOf" srcId="{68A8CB83-99AF-44EB-BF9D-5F5E79D0380E}" destId="{956B9E93-765D-4C54-91F4-713982393EEC}" srcOrd="1" destOrd="0" presId="urn:microsoft.com/office/officeart/2005/8/layout/orgChart1"/>
    <dgm:cxn modelId="{3862D340-A042-480F-ADA9-D24940712445}" type="presOf" srcId="{153A550F-586C-4B08-B51E-7F9466A3874F}" destId="{5CBA0914-AD34-4D28-B54E-18DB06E34347}" srcOrd="0" destOrd="0" presId="urn:microsoft.com/office/officeart/2005/8/layout/orgChart1"/>
    <dgm:cxn modelId="{D49AAD5C-CD93-4139-98A1-05EE7126FF9B}" type="presOf" srcId="{5CB88AF0-AE57-416C-8DEE-7A4ACD4A0956}" destId="{598D5FFB-A1E9-414A-ABB9-55FD3DF3C3FF}" srcOrd="0" destOrd="0" presId="urn:microsoft.com/office/officeart/2005/8/layout/orgChart1"/>
    <dgm:cxn modelId="{496DED60-71E1-4373-B43E-ABE5872E134F}" srcId="{F3CE1F20-3607-41DE-9D50-779D66BA2B7D}" destId="{D61F9809-8760-445E-992E-0B0AAF2AE482}" srcOrd="0" destOrd="0" parTransId="{98590495-B328-43FA-A3F6-B596D2F37422}" sibTransId="{E7A681B5-17D4-4EBF-8E86-481F3DB78FAD}"/>
    <dgm:cxn modelId="{C46D7741-3520-40DC-AFEC-B4B8428474C1}" type="presOf" srcId="{017C5C78-AF23-48EA-8DAB-B1F948312037}" destId="{313CC449-35A1-472F-80F9-C24669D1EB6A}" srcOrd="0" destOrd="0" presId="urn:microsoft.com/office/officeart/2005/8/layout/orgChart1"/>
    <dgm:cxn modelId="{DE0BF341-2339-49B2-86C8-A3D3E8634E7F}" srcId="{0FB60897-1D23-4E70-B4AD-B102F2022EC0}" destId="{85E05176-AD20-48C6-B297-29EC668DA93B}" srcOrd="2" destOrd="0" parTransId="{017C5C78-AF23-48EA-8DAB-B1F948312037}" sibTransId="{D43C51BC-8341-43BD-A114-3DA17D12AB9D}"/>
    <dgm:cxn modelId="{B83C7766-3A79-4130-AB67-C06B42E982CA}" srcId="{CA8F54AE-A955-45C5-B3C0-4E5A3D44BC10}" destId="{CEA1188F-7128-41D8-829F-50805DFADED3}" srcOrd="0" destOrd="0" parTransId="{1D14EEEF-7CBE-4FDD-830E-1251E5A69C75}" sibTransId="{6142C1FE-667C-4122-A937-809FE2816F87}"/>
    <dgm:cxn modelId="{A4868947-BC9E-44D6-B7AA-26F9602E6E61}" type="presOf" srcId="{267D3B82-B929-444F-BA98-45BDDDA65E01}" destId="{85667F87-3D0A-453D-A724-68956A12ED95}" srcOrd="0" destOrd="0" presId="urn:microsoft.com/office/officeart/2005/8/layout/orgChart1"/>
    <dgm:cxn modelId="{C31A5568-0352-4C8E-8110-7F41CF3B7E2F}" srcId="{0FB60897-1D23-4E70-B4AD-B102F2022EC0}" destId="{257AF166-01D4-4492-AA06-66E31B002ACE}" srcOrd="4" destOrd="0" parTransId="{D8C36DF9-F2A9-4F09-97E6-89EBBD2B39CF}" sibTransId="{BDDDC773-FA94-4026-8F96-0ECC577C435E}"/>
    <dgm:cxn modelId="{1DC69448-4D39-418B-A2BB-76DF828D6CCE}" srcId="{0FB60897-1D23-4E70-B4AD-B102F2022EC0}" destId="{769E2AF2-08C7-4F69-B528-0034DEBC60BB}" srcOrd="6" destOrd="0" parTransId="{139A6FAE-13E8-41C7-91C5-A42D5AC773E4}" sibTransId="{9600E09A-B93A-4267-85E5-967D7A804778}"/>
    <dgm:cxn modelId="{784C0D69-157B-4C1C-8058-E7738953AD52}" type="presOf" srcId="{5678CC4F-0FCC-4189-94C4-7F1BD56A9CEF}" destId="{7566DFF6-0FC0-4F67-B7DF-4B6235A25B12}" srcOrd="0" destOrd="0" presId="urn:microsoft.com/office/officeart/2005/8/layout/orgChart1"/>
    <dgm:cxn modelId="{861D7369-1CB2-439A-A979-0FBA233B896B}" srcId="{0FB60897-1D23-4E70-B4AD-B102F2022EC0}" destId="{EADE9E23-ACB3-4E34-BA87-27A38F0231D3}" srcOrd="1" destOrd="0" parTransId="{267D3B82-B929-444F-BA98-45BDDDA65E01}" sibTransId="{584C8D1D-1C2F-4B27-8442-F5D3F224A5B7}"/>
    <dgm:cxn modelId="{4D85896A-BA29-497A-B545-79EBD86CBD7E}" type="presOf" srcId="{6B9F40C9-8F71-4C58-8A0C-CB307414309B}" destId="{A9D7A206-3AFA-4AB9-B79E-DE97409DC05B}" srcOrd="1" destOrd="0" presId="urn:microsoft.com/office/officeart/2005/8/layout/orgChart1"/>
    <dgm:cxn modelId="{9752454B-1376-4F91-83EF-314D9F79D6A9}" srcId="{2FA1F857-1465-49B2-BF65-C61FA18BDFBE}" destId="{CC8AFE17-E51A-401A-9603-0D4983FF2551}" srcOrd="0" destOrd="0" parTransId="{B3E7A1B8-96ED-4378-A923-D6DC797C2CCB}" sibTransId="{F1025ABE-9FBC-4462-8AB1-F3B17202D452}"/>
    <dgm:cxn modelId="{0A53864B-D2A3-4DEE-AB3C-EA05619FE6F0}" type="presOf" srcId="{D2B213CD-8CC8-43C4-BDF1-E0CB054DDC5B}" destId="{D62E7ED7-C0F3-43DA-9E0D-BD696A126343}" srcOrd="0" destOrd="0" presId="urn:microsoft.com/office/officeart/2005/8/layout/orgChart1"/>
    <dgm:cxn modelId="{2337944D-F625-4295-BE92-FDDA0380878A}" type="presOf" srcId="{769E2AF2-08C7-4F69-B528-0034DEBC60BB}" destId="{4F9CBE41-C8CD-4F09-8170-165D7B228FF1}" srcOrd="1" destOrd="0" presId="urn:microsoft.com/office/officeart/2005/8/layout/orgChart1"/>
    <dgm:cxn modelId="{A079AA71-B68E-4C92-8731-3C62C6B70105}" srcId="{CA8F54AE-A955-45C5-B3C0-4E5A3D44BC10}" destId="{77DEB8B3-ECFE-4592-A9BE-B441FC27D24B}" srcOrd="1" destOrd="0" parTransId="{24D0B328-6368-48D0-8CFE-F39AB01BAE25}" sibTransId="{703BEF27-9B7A-4FA6-9B42-80E2A94602B1}"/>
    <dgm:cxn modelId="{E7340D52-B436-41E6-AC20-CBC0909A4F09}" type="presOf" srcId="{1D14EEEF-7CBE-4FDD-830E-1251E5A69C75}" destId="{1E24523D-C346-4086-A1E2-18FE6C986449}" srcOrd="0" destOrd="0" presId="urn:microsoft.com/office/officeart/2005/8/layout/orgChart1"/>
    <dgm:cxn modelId="{23173452-C978-4163-8A60-8728AB97B2EF}" srcId="{F3CE1F20-3607-41DE-9D50-779D66BA2B7D}" destId="{63F2F430-FD87-40D3-93B0-0C7164AB4230}" srcOrd="2" destOrd="0" parTransId="{3F8AD065-BF66-4B39-BF44-B0D5CEC0DC70}" sibTransId="{AF67DAC1-CA38-4770-8F52-1F0C3FC8C53C}"/>
    <dgm:cxn modelId="{52524753-9573-4D21-950E-1008512CE46A}" type="presOf" srcId="{581DE153-F467-4D41-BD65-75EFEB1A532E}" destId="{61FE8154-8F1B-49CB-B109-08F72155D24C}" srcOrd="0" destOrd="0" presId="urn:microsoft.com/office/officeart/2005/8/layout/orgChart1"/>
    <dgm:cxn modelId="{0CEA7553-39EC-48B8-85DC-775A8D3FEBDF}" type="presOf" srcId="{5C6C8AB9-3813-4133-AA63-D07AE2D6461C}" destId="{79395CC9-51A5-4282-A953-C8D273979951}" srcOrd="0" destOrd="0" presId="urn:microsoft.com/office/officeart/2005/8/layout/orgChart1"/>
    <dgm:cxn modelId="{B135DC74-1516-45B1-8513-E7D9D499B458}" type="presOf" srcId="{D8C36DF9-F2A9-4F09-97E6-89EBBD2B39CF}" destId="{1B13674D-78FF-4012-9A72-2B58CF258B9A}" srcOrd="0" destOrd="0" presId="urn:microsoft.com/office/officeart/2005/8/layout/orgChart1"/>
    <dgm:cxn modelId="{6A075575-CE9D-499D-9372-B12FFC9DBD1F}" type="presOf" srcId="{CC8AFE17-E51A-401A-9603-0D4983FF2551}" destId="{DAE1F548-C04B-4667-9BA0-6F6E67170096}" srcOrd="0" destOrd="0" presId="urn:microsoft.com/office/officeart/2005/8/layout/orgChart1"/>
    <dgm:cxn modelId="{817D6F58-8DE2-40D2-A67B-CC39F8933711}" srcId="{CC8AFE17-E51A-401A-9603-0D4983FF2551}" destId="{CFF4E675-99F0-476A-A4EF-B0CBDA2F17C2}" srcOrd="3" destOrd="0" parTransId="{F3C42B2E-5AD0-441C-B8DF-BF654F005B29}" sibTransId="{B4F70C0E-A1C4-4DE9-9DFD-198821C87292}"/>
    <dgm:cxn modelId="{C3FFCD78-3D98-45FB-ACAC-E4DD3153DD7D}" srcId="{6B9F40C9-8F71-4C58-8A0C-CB307414309B}" destId="{CA8F54AE-A955-45C5-B3C0-4E5A3D44BC10}" srcOrd="0" destOrd="0" parTransId="{67A7012E-7138-4603-8BD4-427F8C544CD3}" sibTransId="{4E95699A-46A5-4637-A618-CE9E4E75861A}"/>
    <dgm:cxn modelId="{AC76FA7D-58F7-4617-B15A-E1C5A5CC5A78}" type="presOf" srcId="{0FB60897-1D23-4E70-B4AD-B102F2022EC0}" destId="{F6DE5D49-C83E-4000-BC1E-79AB87AFFFCA}" srcOrd="1" destOrd="0" presId="urn:microsoft.com/office/officeart/2005/8/layout/orgChart1"/>
    <dgm:cxn modelId="{37CC137E-26FC-43A5-9DB0-5DE5C28F2000}" type="presOf" srcId="{F3C42B2E-5AD0-441C-B8DF-BF654F005B29}" destId="{CE85D3B1-2383-49A9-8B12-CD03CD11E859}" srcOrd="0" destOrd="0" presId="urn:microsoft.com/office/officeart/2005/8/layout/orgChart1"/>
    <dgm:cxn modelId="{6C8DFD7E-6409-4F25-AD28-CD65916DA04A}" srcId="{0FB60897-1D23-4E70-B4AD-B102F2022EC0}" destId="{548544BB-10E0-4D46-9672-61E9712C25E4}" srcOrd="7" destOrd="0" parTransId="{509A5A7C-5010-45CF-9564-EF8866B98DE4}" sibTransId="{5A86F708-027A-4DBA-990B-2C330A7706BF}"/>
    <dgm:cxn modelId="{EAA3AA81-CD64-4888-8E4A-F1D8FC6A7E99}" srcId="{CC8AFE17-E51A-401A-9603-0D4983FF2551}" destId="{59D50634-26C5-4B71-8017-A959192B34A8}" srcOrd="0" destOrd="0" parTransId="{1537FE45-317E-4AF9-B925-633E93101596}" sibTransId="{38C2C47D-A8C3-47B3-A1F0-781B06FFF1CB}"/>
    <dgm:cxn modelId="{3C26C781-B21B-4C12-BF2C-49902F4F6859}" type="presOf" srcId="{59D50634-26C5-4B71-8017-A959192B34A8}" destId="{3F9157AF-286A-4543-97AC-9C9D89C03BA9}" srcOrd="1" destOrd="0" presId="urn:microsoft.com/office/officeart/2005/8/layout/orgChart1"/>
    <dgm:cxn modelId="{E1BAC584-1C4C-4F5B-9ADC-6E002C2AFEE6}" type="presOf" srcId="{5678CC4F-0FCC-4189-94C4-7F1BD56A9CEF}" destId="{9A6625C3-293B-400D-894C-06ACE1C09066}" srcOrd="1" destOrd="0" presId="urn:microsoft.com/office/officeart/2005/8/layout/orgChart1"/>
    <dgm:cxn modelId="{0D60A288-40BA-45E9-B233-105B6BF81926}" type="presOf" srcId="{6B9F40C9-8F71-4C58-8A0C-CB307414309B}" destId="{C2113E5F-4670-47EC-A5EA-084299B57EAB}" srcOrd="0" destOrd="0" presId="urn:microsoft.com/office/officeart/2005/8/layout/orgChart1"/>
    <dgm:cxn modelId="{E41B4B90-FA4F-453A-B0BD-DF2A62C8D6FF}" type="presOf" srcId="{656AE4EC-5E41-4339-8506-F97DB8A50F52}" destId="{EBDD3410-B4AB-4752-918F-E0222A185495}" srcOrd="0" destOrd="0" presId="urn:microsoft.com/office/officeart/2005/8/layout/orgChart1"/>
    <dgm:cxn modelId="{3E642A92-1526-43C3-8ED8-F52F5B64E1A9}" type="presOf" srcId="{0FB60897-1D23-4E70-B4AD-B102F2022EC0}" destId="{9D4ED0E6-C383-4B09-897A-F3AD0CEF5528}" srcOrd="0" destOrd="0" presId="urn:microsoft.com/office/officeart/2005/8/layout/orgChart1"/>
    <dgm:cxn modelId="{AF1A5595-4362-4806-B2AF-89305707BBC8}" type="presOf" srcId="{4C18C41A-0F24-463D-99E8-EB080584263A}" destId="{32928964-300F-49A8-96F4-7D6993C2F759}" srcOrd="0" destOrd="0" presId="urn:microsoft.com/office/officeart/2005/8/layout/orgChart1"/>
    <dgm:cxn modelId="{DCC65D97-C996-440D-AADC-BAF88EB03E59}" type="presOf" srcId="{0091A2BC-101E-464C-BAA9-DB27714E3712}" destId="{02417033-4F70-4833-BF9B-BE5C3C63BC58}" srcOrd="0" destOrd="0" presId="urn:microsoft.com/office/officeart/2005/8/layout/orgChart1"/>
    <dgm:cxn modelId="{108B8C97-649A-451B-BCB4-F4E13694DBD4}" type="presOf" srcId="{59D50634-26C5-4B71-8017-A959192B34A8}" destId="{F9889314-73E8-4FA4-8BAC-84947BF867B6}" srcOrd="0" destOrd="0" presId="urn:microsoft.com/office/officeart/2005/8/layout/orgChart1"/>
    <dgm:cxn modelId="{FC2A7898-588A-40C6-AE80-D02539716B08}" type="presOf" srcId="{769E2AF2-08C7-4F69-B528-0034DEBC60BB}" destId="{F7BD9E72-0E29-4167-BB17-890B826CCAA4}" srcOrd="0" destOrd="0" presId="urn:microsoft.com/office/officeart/2005/8/layout/orgChart1"/>
    <dgm:cxn modelId="{54C4D998-E75F-46BD-8824-4442FDCF30C0}" type="presOf" srcId="{548544BB-10E0-4D46-9672-61E9712C25E4}" destId="{F3946B89-6477-4600-AAF6-F2CB22E0AC94}" srcOrd="0" destOrd="0" presId="urn:microsoft.com/office/officeart/2005/8/layout/orgChart1"/>
    <dgm:cxn modelId="{A7C5A79C-65E1-4B4A-9CBE-40DA00461127}" type="presOf" srcId="{10E11834-819E-41DD-A57A-0A41430DD021}" destId="{C89A0525-9B56-498A-9974-E194D186A96B}" srcOrd="0" destOrd="0" presId="urn:microsoft.com/office/officeart/2005/8/layout/orgChart1"/>
    <dgm:cxn modelId="{616FB39C-D397-4A0C-B127-67E8195E22F8}" type="presOf" srcId="{509A5A7C-5010-45CF-9564-EF8866B98DE4}" destId="{4834B4B1-458A-49CF-A480-35E9BE88E0E4}" srcOrd="0" destOrd="0" presId="urn:microsoft.com/office/officeart/2005/8/layout/orgChart1"/>
    <dgm:cxn modelId="{10FDAC9F-2E89-4446-A441-8B5A7A762BC1}" type="presOf" srcId="{9FC610A7-1D19-4DB3-8906-A24FBFD0A042}" destId="{615F7F4C-3611-4433-8308-EAA63BB3953F}" srcOrd="0" destOrd="0" presId="urn:microsoft.com/office/officeart/2005/8/layout/orgChart1"/>
    <dgm:cxn modelId="{25C518A0-6B0F-43A5-817D-C01333301043}" type="presOf" srcId="{CA8F54AE-A955-45C5-B3C0-4E5A3D44BC10}" destId="{0DC93365-AAE8-4A43-8CF4-377215C6C29B}" srcOrd="1" destOrd="0" presId="urn:microsoft.com/office/officeart/2005/8/layout/orgChart1"/>
    <dgm:cxn modelId="{2BB372A3-3965-4CE6-AFB1-E01086154049}" type="presOf" srcId="{CC8AFE17-E51A-401A-9603-0D4983FF2551}" destId="{E2A3CE2B-F1D4-4146-BBCD-A2DDBD61F78B}" srcOrd="1" destOrd="0" presId="urn:microsoft.com/office/officeart/2005/8/layout/orgChart1"/>
    <dgm:cxn modelId="{A220AFA7-E6E8-47DC-83F4-E83C9F779E1D}" type="presOf" srcId="{63F2F430-FD87-40D3-93B0-0C7164AB4230}" destId="{C72EEDF8-4603-4BF3-AECB-3F23D8E33765}" srcOrd="1" destOrd="0" presId="urn:microsoft.com/office/officeart/2005/8/layout/orgChart1"/>
    <dgm:cxn modelId="{7A98FAB1-3719-4E6A-AAFF-AC9F4A9D447A}" type="presOf" srcId="{24D0B328-6368-48D0-8CFE-F39AB01BAE25}" destId="{34B6A954-26FA-4D5A-B36E-8CD2D1D6B078}" srcOrd="0" destOrd="0" presId="urn:microsoft.com/office/officeart/2005/8/layout/orgChart1"/>
    <dgm:cxn modelId="{015DA1B3-3024-42B8-96AA-318C439CB760}" type="presOf" srcId="{139A6FAE-13E8-41C7-91C5-A42D5AC773E4}" destId="{24114EB2-3267-414A-9E41-AD25B3B32DF2}" srcOrd="0" destOrd="0" presId="urn:microsoft.com/office/officeart/2005/8/layout/orgChart1"/>
    <dgm:cxn modelId="{CCD768B6-7823-4CBF-A677-DB6AA0BC8805}" type="presOf" srcId="{77DEB8B3-ECFE-4592-A9BE-B441FC27D24B}" destId="{A9565DC3-2F39-4EAD-A04B-30964B91F244}" srcOrd="1" destOrd="0" presId="urn:microsoft.com/office/officeart/2005/8/layout/orgChart1"/>
    <dgm:cxn modelId="{CA54F2B6-09DE-4A9C-BFB0-000635BAABA7}" type="presOf" srcId="{CEA1188F-7128-41D8-829F-50805DFADED3}" destId="{64019EAF-FAD8-4183-88E0-C6F77A25113C}" srcOrd="0" destOrd="0" presId="urn:microsoft.com/office/officeart/2005/8/layout/orgChart1"/>
    <dgm:cxn modelId="{2BB64DB8-9A4D-491E-91EC-81407FA785FA}" type="presOf" srcId="{2FA1F857-1465-49B2-BF65-C61FA18BDFBE}" destId="{DD438CC6-228C-4857-831C-5E9AA9CD33EA}" srcOrd="0" destOrd="0" presId="urn:microsoft.com/office/officeart/2005/8/layout/orgChart1"/>
    <dgm:cxn modelId="{4699C1B8-FB5F-44DA-BDC1-D4AA2B2B02BC}" type="presOf" srcId="{C9005D0D-19CB-4799-BDC9-3D02BA6BD455}" destId="{73EEF80B-D0D3-4D30-8453-1B9D01227862}" srcOrd="0" destOrd="0" presId="urn:microsoft.com/office/officeart/2005/8/layout/orgChart1"/>
    <dgm:cxn modelId="{550FFCBC-405B-43C2-8299-3519D95DAD07}" type="presOf" srcId="{EADE9E23-ACB3-4E34-BA87-27A38F0231D3}" destId="{40EE3F0E-7F4C-4EC8-A633-9BC7979E4608}" srcOrd="0" destOrd="0" presId="urn:microsoft.com/office/officeart/2005/8/layout/orgChart1"/>
    <dgm:cxn modelId="{C7D0DDC1-2BA5-4D78-8CBF-2ADE45B353C9}" type="presOf" srcId="{F0F8D1A4-E062-4713-9584-64AD89115A5D}" destId="{BF614AC0-45A0-401A-9AFD-DBB7B2862E6D}" srcOrd="1" destOrd="0" presId="urn:microsoft.com/office/officeart/2005/8/layout/orgChart1"/>
    <dgm:cxn modelId="{5A410EC2-1F71-4245-A67F-876BEAE58756}" srcId="{0FB60897-1D23-4E70-B4AD-B102F2022EC0}" destId="{9FC610A7-1D19-4DB3-8906-A24FBFD0A042}" srcOrd="3" destOrd="0" parTransId="{10E11834-819E-41DD-A57A-0A41430DD021}" sibTransId="{AB079AC6-41BD-49DA-85D6-B9DA4D9C9296}"/>
    <dgm:cxn modelId="{66315BC4-9763-4DB3-8B78-80CEFD4AA98C}" type="presOf" srcId="{257AF166-01D4-4492-AA06-66E31B002ACE}" destId="{889650AB-9127-477E-B314-91B01F4BE892}" srcOrd="0" destOrd="0" presId="urn:microsoft.com/office/officeart/2005/8/layout/orgChart1"/>
    <dgm:cxn modelId="{558CC8C6-C274-439C-B363-A9218E20B4AC}" srcId="{6B9F40C9-8F71-4C58-8A0C-CB307414309B}" destId="{0FB60897-1D23-4E70-B4AD-B102F2022EC0}" srcOrd="1" destOrd="0" parTransId="{153A550F-586C-4B08-B51E-7F9466A3874F}" sibTransId="{32C821F7-6A46-40B5-84EC-15F0D9B658CB}"/>
    <dgm:cxn modelId="{4130DCC7-C45B-430E-84C5-54BA02EC9BD3}" type="presOf" srcId="{2CC23624-44F3-4225-BE74-B393BEBC5377}" destId="{B592EF1A-D665-4988-9731-80A484C2FD33}" srcOrd="0" destOrd="0" presId="urn:microsoft.com/office/officeart/2005/8/layout/orgChart1"/>
    <dgm:cxn modelId="{614E48CF-6E28-4957-A82F-ED64F29A6E84}" type="presOf" srcId="{F0F8D1A4-E062-4713-9584-64AD89115A5D}" destId="{8599A985-43DE-4515-87ED-DBCF0CEFDD03}" srcOrd="0" destOrd="0" presId="urn:microsoft.com/office/officeart/2005/8/layout/orgChart1"/>
    <dgm:cxn modelId="{4A3793D0-663B-49A7-ACC2-692E622D8470}" type="presOf" srcId="{9D0CC937-0EBF-4C39-BC02-F33D0D338B6A}" destId="{5750D2DB-7BD0-4C88-9D71-601C9F4013F0}" srcOrd="0" destOrd="0" presId="urn:microsoft.com/office/officeart/2005/8/layout/orgChart1"/>
    <dgm:cxn modelId="{EE47F6D0-8E3F-4433-AEF0-871D47678A2A}" type="presOf" srcId="{ACC4923E-EF19-4695-B0BF-F579A4296317}" destId="{E93D9FD7-D372-4E72-B729-490B695020FC}" srcOrd="0" destOrd="0" presId="urn:microsoft.com/office/officeart/2005/8/layout/orgChart1"/>
    <dgm:cxn modelId="{2F3F82D3-DDC9-4965-B11E-D44A1FECA025}" srcId="{0091A2BC-101E-464C-BAA9-DB27714E3712}" destId="{F3CE1F20-3607-41DE-9D50-779D66BA2B7D}" srcOrd="0" destOrd="0" parTransId="{C6000C59-26D4-4851-9BF3-D3F6CF56E0FF}" sibTransId="{42A19D93-23FE-495E-B8BD-51D1B86867CD}"/>
    <dgm:cxn modelId="{68310AD7-7EBE-4882-84C4-59E97AAC4EAC}" type="presOf" srcId="{85E05176-AD20-48C6-B297-29EC668DA93B}" destId="{EC2DD2F7-A698-482F-8E7D-B35F02E4BE57}" srcOrd="1" destOrd="0" presId="urn:microsoft.com/office/officeart/2005/8/layout/orgChart1"/>
    <dgm:cxn modelId="{68CEA2D9-77DB-4A3C-999B-75F678430DDD}" type="presOf" srcId="{47BAE27E-9487-45E3-AB1B-03B4A317F884}" destId="{1B97778D-7B8C-4C50-A564-BCCE4FD6104F}" srcOrd="1" destOrd="0" presId="urn:microsoft.com/office/officeart/2005/8/layout/orgChart1"/>
    <dgm:cxn modelId="{DFCD94DA-34BC-4A74-BCBB-68E45A530D57}" type="presOf" srcId="{85E05176-AD20-48C6-B297-29EC668DA93B}" destId="{18912215-AD19-4582-82E0-ECF19D0D6931}" srcOrd="0" destOrd="0" presId="urn:microsoft.com/office/officeart/2005/8/layout/orgChart1"/>
    <dgm:cxn modelId="{A05259DC-27D0-4174-82BA-607A083A5B97}" type="presOf" srcId="{E09CB425-B9EC-412D-B385-F68F9F762002}" destId="{A522D678-6637-4220-9424-9A76DF65585E}" srcOrd="0" destOrd="0" presId="urn:microsoft.com/office/officeart/2005/8/layout/orgChart1"/>
    <dgm:cxn modelId="{82EBC7E0-6B1E-47C7-9D1C-604DE237B192}" srcId="{F3CE1F20-3607-41DE-9D50-779D66BA2B7D}" destId="{C00BDA59-49DC-45E3-9B70-7655B322F466}" srcOrd="3" destOrd="0" parTransId="{ACEC2FF5-BA67-478C-88EA-C61AE948BA0A}" sibTransId="{2D302576-A2B7-43EE-927E-1195DBC52596}"/>
    <dgm:cxn modelId="{C61E5EE4-F152-444C-8DB7-C204773AE9F5}" type="presOf" srcId="{77DEB8B3-ECFE-4592-A9BE-B441FC27D24B}" destId="{06BDDADF-3E5C-4DD2-983D-DDB75938912C}" srcOrd="0" destOrd="0" presId="urn:microsoft.com/office/officeart/2005/8/layout/orgChart1"/>
    <dgm:cxn modelId="{AB6F6FE7-8578-40EB-A701-A12CFF81EADB}" srcId="{0FB60897-1D23-4E70-B4AD-B102F2022EC0}" destId="{47BAE27E-9487-45E3-AB1B-03B4A317F884}" srcOrd="0" destOrd="0" parTransId="{4C18C41A-0F24-463D-99E8-EB080584263A}" sibTransId="{354D3B5C-8BF6-47C4-87AB-A7A19AD897DA}"/>
    <dgm:cxn modelId="{C0E962E8-DF16-477B-A207-CE843000870F}" type="presOf" srcId="{3F8AD065-BF66-4B39-BF44-B0D5CEC0DC70}" destId="{648812C7-002A-44DD-B9BE-60091A132EE0}" srcOrd="0" destOrd="0" presId="urn:microsoft.com/office/officeart/2005/8/layout/orgChart1"/>
    <dgm:cxn modelId="{4876BEE9-33F5-4819-86EC-E2D36AA68E38}" type="presOf" srcId="{98590495-B328-43FA-A3F6-B596D2F37422}" destId="{17E52FFD-D7C4-4AE1-86ED-DC8CE3F9891F}" srcOrd="0" destOrd="0" presId="urn:microsoft.com/office/officeart/2005/8/layout/orgChart1"/>
    <dgm:cxn modelId="{158B19EB-BA30-471F-B66D-7DD6ADECBD36}" type="presOf" srcId="{ACEC2FF5-BA67-478C-88EA-C61AE948BA0A}" destId="{DE6A658E-981D-43EC-89C2-4450D2869B07}" srcOrd="0" destOrd="0" presId="urn:microsoft.com/office/officeart/2005/8/layout/orgChart1"/>
    <dgm:cxn modelId="{952318ED-6599-4332-9384-7F6A6B6CC567}" srcId="{0FB60897-1D23-4E70-B4AD-B102F2022EC0}" destId="{5C6C8AB9-3813-4133-AA63-D07AE2D6461C}" srcOrd="5" destOrd="0" parTransId="{2CC23624-44F3-4225-BE74-B393BEBC5377}" sibTransId="{5FD6A700-8A59-4837-9CB0-92DE5F55153D}"/>
    <dgm:cxn modelId="{398937EE-2DD8-482B-AAE8-952794411A1F}" type="presOf" srcId="{D61F9809-8760-445E-992E-0B0AAF2AE482}" destId="{06ECBB3A-A4A2-4E90-9605-3E4CE2C464D7}" srcOrd="0" destOrd="0" presId="urn:microsoft.com/office/officeart/2005/8/layout/orgChart1"/>
    <dgm:cxn modelId="{816779EF-0C82-4DF2-BA6B-BDF8D38E7828}" srcId="{CC8AFE17-E51A-401A-9603-0D4983FF2551}" destId="{0091A2BC-101E-464C-BAA9-DB27714E3712}" srcOrd="2" destOrd="0" parTransId="{656AE4EC-5E41-4339-8506-F97DB8A50F52}" sibTransId="{94937032-5F73-48B2-A6F9-6A2FA82F1A6E}"/>
    <dgm:cxn modelId="{13DBC3EF-3A88-40E7-A02B-CB950F3EAD34}" type="presOf" srcId="{CFF4E675-99F0-476A-A4EF-B0CBDA2F17C2}" destId="{1B495F72-4A0D-46BB-B84F-BEBC0F7CE239}" srcOrd="1" destOrd="0" presId="urn:microsoft.com/office/officeart/2005/8/layout/orgChart1"/>
    <dgm:cxn modelId="{376410F7-1DA5-4D11-9530-823B4643A405}" srcId="{F3CE1F20-3607-41DE-9D50-779D66BA2B7D}" destId="{9714A519-1AA3-40A3-A42A-F7677A426616}" srcOrd="1" destOrd="0" parTransId="{C2112F6B-BC3B-4C20-9A5A-2A0ED9B7A073}" sibTransId="{2545DF31-FBB8-4A98-9028-4C478AEA84F2}"/>
    <dgm:cxn modelId="{12E4C2F7-E251-48E9-92DC-6B8886BAF569}" srcId="{CFF4E675-99F0-476A-A4EF-B0CBDA2F17C2}" destId="{E09CB425-B9EC-412D-B385-F68F9F762002}" srcOrd="0" destOrd="0" parTransId="{C9005D0D-19CB-4799-BDC9-3D02BA6BD455}" sibTransId="{520C3874-EFE8-4104-91E0-BC0BE5489C22}"/>
    <dgm:cxn modelId="{531964F8-E609-4B46-8512-D3B797F8B8EC}" type="presOf" srcId="{EADE9E23-ACB3-4E34-BA87-27A38F0231D3}" destId="{8633D2D5-7884-4A2F-976D-90F36C9A2FB1}" srcOrd="1" destOrd="0" presId="urn:microsoft.com/office/officeart/2005/8/layout/orgChart1"/>
    <dgm:cxn modelId="{8E8311F9-73EA-4F8D-940A-FD333F6E9A24}" type="presOf" srcId="{63F2F430-FD87-40D3-93B0-0C7164AB4230}" destId="{2CA39FCB-1F29-4383-9FF6-3FC9F1864DDA}" srcOrd="0" destOrd="0" presId="urn:microsoft.com/office/officeart/2005/8/layout/orgChart1"/>
    <dgm:cxn modelId="{60B33AF9-D86C-451A-9C94-B2BAC0E74B25}" srcId="{0FB60897-1D23-4E70-B4AD-B102F2022EC0}" destId="{BA1ADF91-75C0-43DD-B323-4FBAFEE963B6}" srcOrd="8" destOrd="0" parTransId="{581DE153-F467-4D41-BD65-75EFEB1A532E}" sibTransId="{55064DE8-C44C-4C16-B503-59DD5C789ADF}"/>
    <dgm:cxn modelId="{DBFB05FB-4DAA-45C8-A50D-5515FAE34C42}" srcId="{59D50634-26C5-4B71-8017-A959192B34A8}" destId="{5678CC4F-0FCC-4189-94C4-7F1BD56A9CEF}" srcOrd="0" destOrd="0" parTransId="{5CB88AF0-AE57-416C-8DEE-7A4ACD4A0956}" sibTransId="{15FAC951-BE95-4B90-B349-09B3E8441921}"/>
    <dgm:cxn modelId="{C8C1C0FD-D027-446F-ABAD-858AFB03E212}" type="presOf" srcId="{67A7012E-7138-4603-8BD4-427F8C544CD3}" destId="{8C3EDA7F-C41F-4EB5-BDA7-2CF3C72CDF8C}" srcOrd="0" destOrd="0" presId="urn:microsoft.com/office/officeart/2005/8/layout/orgChart1"/>
    <dgm:cxn modelId="{F7BBECFD-43C9-46AB-AF47-5E1D7F92B8B5}" type="presOf" srcId="{D61F9809-8760-445E-992E-0B0AAF2AE482}" destId="{0630A6DD-830B-4BAB-9CEE-93438D58DCB4}" srcOrd="1" destOrd="0" presId="urn:microsoft.com/office/officeart/2005/8/layout/orgChart1"/>
    <dgm:cxn modelId="{A027B659-DDBD-47A6-A6D6-5744265437F8}" type="presParOf" srcId="{DD438CC6-228C-4857-831C-5E9AA9CD33EA}" destId="{4DD9AA72-52C1-44BF-8851-51528852EB1F}" srcOrd="0" destOrd="0" presId="urn:microsoft.com/office/officeart/2005/8/layout/orgChart1"/>
    <dgm:cxn modelId="{5CEE91D8-4D05-424B-8A02-5FB2DFB652FA}" type="presParOf" srcId="{4DD9AA72-52C1-44BF-8851-51528852EB1F}" destId="{DD40D05D-6DDA-4900-A354-DC05D328CCF1}" srcOrd="0" destOrd="0" presId="urn:microsoft.com/office/officeart/2005/8/layout/orgChart1"/>
    <dgm:cxn modelId="{354DB041-D79F-4164-AE78-2562760192A1}" type="presParOf" srcId="{DD40D05D-6DDA-4900-A354-DC05D328CCF1}" destId="{DAE1F548-C04B-4667-9BA0-6F6E67170096}" srcOrd="0" destOrd="0" presId="urn:microsoft.com/office/officeart/2005/8/layout/orgChart1"/>
    <dgm:cxn modelId="{F7C1E6DD-4691-42F8-BE54-F157B62B0D11}" type="presParOf" srcId="{DD40D05D-6DDA-4900-A354-DC05D328CCF1}" destId="{E2A3CE2B-F1D4-4146-BBCD-A2DDBD61F78B}" srcOrd="1" destOrd="0" presId="urn:microsoft.com/office/officeart/2005/8/layout/orgChart1"/>
    <dgm:cxn modelId="{9A98271C-A4CB-4F8C-9EF1-F9E0E276EB1D}" type="presParOf" srcId="{4DD9AA72-52C1-44BF-8851-51528852EB1F}" destId="{EAF3D06E-756D-4DF0-B22D-D903B12F4F84}" srcOrd="1" destOrd="0" presId="urn:microsoft.com/office/officeart/2005/8/layout/orgChart1"/>
    <dgm:cxn modelId="{510C6D18-6259-4C79-B853-59310F0DF459}" type="presParOf" srcId="{EAF3D06E-756D-4DF0-B22D-D903B12F4F84}" destId="{B4CB7DF9-5CB6-4F69-AC7C-0542E6DB0BD6}" srcOrd="0" destOrd="0" presId="urn:microsoft.com/office/officeart/2005/8/layout/orgChart1"/>
    <dgm:cxn modelId="{535A0A0C-D660-4BC9-AD80-A022B0863501}" type="presParOf" srcId="{EAF3D06E-756D-4DF0-B22D-D903B12F4F84}" destId="{B5B6299A-DECC-461B-BF09-4C242649E889}" srcOrd="1" destOrd="0" presId="urn:microsoft.com/office/officeart/2005/8/layout/orgChart1"/>
    <dgm:cxn modelId="{222763D7-5BD3-4C99-BB5F-8FC6F7378A66}" type="presParOf" srcId="{B5B6299A-DECC-461B-BF09-4C242649E889}" destId="{7E3FB328-E9E3-4891-B786-B80FCC2780B0}" srcOrd="0" destOrd="0" presId="urn:microsoft.com/office/officeart/2005/8/layout/orgChart1"/>
    <dgm:cxn modelId="{1186AF5E-C1AF-40F0-AC2F-30D29DAC18B1}" type="presParOf" srcId="{7E3FB328-E9E3-4891-B786-B80FCC2780B0}" destId="{F9889314-73E8-4FA4-8BAC-84947BF867B6}" srcOrd="0" destOrd="0" presId="urn:microsoft.com/office/officeart/2005/8/layout/orgChart1"/>
    <dgm:cxn modelId="{227D37D2-0148-47CA-AE87-AD78BED090DE}" type="presParOf" srcId="{7E3FB328-E9E3-4891-B786-B80FCC2780B0}" destId="{3F9157AF-286A-4543-97AC-9C9D89C03BA9}" srcOrd="1" destOrd="0" presId="urn:microsoft.com/office/officeart/2005/8/layout/orgChart1"/>
    <dgm:cxn modelId="{40CE930E-3244-4A50-AA96-583E0A4D1BDD}" type="presParOf" srcId="{B5B6299A-DECC-461B-BF09-4C242649E889}" destId="{AE3A3783-4994-461E-B02D-141104EAFC26}" srcOrd="1" destOrd="0" presId="urn:microsoft.com/office/officeart/2005/8/layout/orgChart1"/>
    <dgm:cxn modelId="{C3A67896-2612-43CC-96C3-E8400C3DC9EA}" type="presParOf" srcId="{AE3A3783-4994-461E-B02D-141104EAFC26}" destId="{598D5FFB-A1E9-414A-ABB9-55FD3DF3C3FF}" srcOrd="0" destOrd="0" presId="urn:microsoft.com/office/officeart/2005/8/layout/orgChart1"/>
    <dgm:cxn modelId="{52AE73EA-D01C-4B50-BC86-3509B0CBD110}" type="presParOf" srcId="{AE3A3783-4994-461E-B02D-141104EAFC26}" destId="{C3B03FDF-95B2-43BA-BB6C-0CA3CA03E45D}" srcOrd="1" destOrd="0" presId="urn:microsoft.com/office/officeart/2005/8/layout/orgChart1"/>
    <dgm:cxn modelId="{FAD122B8-CC3F-4676-8592-8A8F7F1DD226}" type="presParOf" srcId="{C3B03FDF-95B2-43BA-BB6C-0CA3CA03E45D}" destId="{55D38EC2-2281-46AD-AF76-2FC8896F719D}" srcOrd="0" destOrd="0" presId="urn:microsoft.com/office/officeart/2005/8/layout/orgChart1"/>
    <dgm:cxn modelId="{6F19ABBD-A679-45C8-8E8A-A5D9A076481B}" type="presParOf" srcId="{55D38EC2-2281-46AD-AF76-2FC8896F719D}" destId="{7566DFF6-0FC0-4F67-B7DF-4B6235A25B12}" srcOrd="0" destOrd="0" presId="urn:microsoft.com/office/officeart/2005/8/layout/orgChart1"/>
    <dgm:cxn modelId="{9E80680E-37F5-4ADA-B535-926A1B7E1DC0}" type="presParOf" srcId="{55D38EC2-2281-46AD-AF76-2FC8896F719D}" destId="{9A6625C3-293B-400D-894C-06ACE1C09066}" srcOrd="1" destOrd="0" presId="urn:microsoft.com/office/officeart/2005/8/layout/orgChart1"/>
    <dgm:cxn modelId="{CB1FC5C4-3BA7-4147-A432-31025E74CE1D}" type="presParOf" srcId="{C3B03FDF-95B2-43BA-BB6C-0CA3CA03E45D}" destId="{77FFABE6-8FBF-4323-B1FA-94C68A54C884}" srcOrd="1" destOrd="0" presId="urn:microsoft.com/office/officeart/2005/8/layout/orgChart1"/>
    <dgm:cxn modelId="{B5CC4A27-DD45-4127-8B60-649D0389704A}" type="presParOf" srcId="{C3B03FDF-95B2-43BA-BB6C-0CA3CA03E45D}" destId="{9765C944-43C5-43ED-BF51-D60F1BF76FAF}" srcOrd="2" destOrd="0" presId="urn:microsoft.com/office/officeart/2005/8/layout/orgChart1"/>
    <dgm:cxn modelId="{D7716D1E-2A28-4EC3-BF20-DD63DF726CE7}" type="presParOf" srcId="{B5B6299A-DECC-461B-BF09-4C242649E889}" destId="{9226F100-224B-4AF2-BCA2-8F9464606037}" srcOrd="2" destOrd="0" presId="urn:microsoft.com/office/officeart/2005/8/layout/orgChart1"/>
    <dgm:cxn modelId="{8A67A6A4-EBED-484A-9470-E0F867D65446}" type="presParOf" srcId="{EAF3D06E-756D-4DF0-B22D-D903B12F4F84}" destId="{008F2A8F-9915-4223-94DB-6A85F94B0272}" srcOrd="2" destOrd="0" presId="urn:microsoft.com/office/officeart/2005/8/layout/orgChart1"/>
    <dgm:cxn modelId="{6151D3DB-34A1-4DB2-B018-F2896C1C52F7}" type="presParOf" srcId="{EAF3D06E-756D-4DF0-B22D-D903B12F4F84}" destId="{04FA824C-FFCB-4D1F-AA13-53BD340E89D4}" srcOrd="3" destOrd="0" presId="urn:microsoft.com/office/officeart/2005/8/layout/orgChart1"/>
    <dgm:cxn modelId="{B0DB0F44-44BF-4D3A-BAB4-CF923F250761}" type="presParOf" srcId="{04FA824C-FFCB-4D1F-AA13-53BD340E89D4}" destId="{A0B30FF3-B0CA-46EC-B775-0E2439AD8559}" srcOrd="0" destOrd="0" presId="urn:microsoft.com/office/officeart/2005/8/layout/orgChart1"/>
    <dgm:cxn modelId="{B4203AD4-F5CF-45CD-A912-329F46320D15}" type="presParOf" srcId="{A0B30FF3-B0CA-46EC-B775-0E2439AD8559}" destId="{C2113E5F-4670-47EC-A5EA-084299B57EAB}" srcOrd="0" destOrd="0" presId="urn:microsoft.com/office/officeart/2005/8/layout/orgChart1"/>
    <dgm:cxn modelId="{D529B5CC-1CCE-46A9-93A0-EF5FA49DD3D0}" type="presParOf" srcId="{A0B30FF3-B0CA-46EC-B775-0E2439AD8559}" destId="{A9D7A206-3AFA-4AB9-B79E-DE97409DC05B}" srcOrd="1" destOrd="0" presId="urn:microsoft.com/office/officeart/2005/8/layout/orgChart1"/>
    <dgm:cxn modelId="{6B53A39D-60E6-4D7E-8897-7A7D9B0C9CFE}" type="presParOf" srcId="{04FA824C-FFCB-4D1F-AA13-53BD340E89D4}" destId="{E754D133-A013-4E4D-889E-24020FD2BE7E}" srcOrd="1" destOrd="0" presId="urn:microsoft.com/office/officeart/2005/8/layout/orgChart1"/>
    <dgm:cxn modelId="{3310C071-4F27-40B7-999D-0DED2D481037}" type="presParOf" srcId="{E754D133-A013-4E4D-889E-24020FD2BE7E}" destId="{8C3EDA7F-C41F-4EB5-BDA7-2CF3C72CDF8C}" srcOrd="0" destOrd="0" presId="urn:microsoft.com/office/officeart/2005/8/layout/orgChart1"/>
    <dgm:cxn modelId="{7A5C2E92-25D4-4066-A63F-66A4C644A69C}" type="presParOf" srcId="{E754D133-A013-4E4D-889E-24020FD2BE7E}" destId="{1FF0C1C7-861F-4CF8-9C1F-6E82E1C194C6}" srcOrd="1" destOrd="0" presId="urn:microsoft.com/office/officeart/2005/8/layout/orgChart1"/>
    <dgm:cxn modelId="{E9CEC9B9-51ED-4CEB-AABE-D5314921B33F}" type="presParOf" srcId="{1FF0C1C7-861F-4CF8-9C1F-6E82E1C194C6}" destId="{6962DE4C-C654-4BFB-A12C-20F821BB3087}" srcOrd="0" destOrd="0" presId="urn:microsoft.com/office/officeart/2005/8/layout/orgChart1"/>
    <dgm:cxn modelId="{98E77F20-324C-4328-9487-00BCA83A7036}" type="presParOf" srcId="{6962DE4C-C654-4BFB-A12C-20F821BB3087}" destId="{8895EAD4-1A2B-4066-90EE-3577F268900A}" srcOrd="0" destOrd="0" presId="urn:microsoft.com/office/officeart/2005/8/layout/orgChart1"/>
    <dgm:cxn modelId="{9450501D-8027-47A0-8D5E-B2B71502CB94}" type="presParOf" srcId="{6962DE4C-C654-4BFB-A12C-20F821BB3087}" destId="{0DC93365-AAE8-4A43-8CF4-377215C6C29B}" srcOrd="1" destOrd="0" presId="urn:microsoft.com/office/officeart/2005/8/layout/orgChart1"/>
    <dgm:cxn modelId="{E0AE8006-8031-4874-8B6C-69C5788646DE}" type="presParOf" srcId="{1FF0C1C7-861F-4CF8-9C1F-6E82E1C194C6}" destId="{F711D8F4-F649-4F2D-9795-D4D55755E50A}" srcOrd="1" destOrd="0" presId="urn:microsoft.com/office/officeart/2005/8/layout/orgChart1"/>
    <dgm:cxn modelId="{E03799A4-ECAD-4B5A-B7E4-8CB3796EF3F4}" type="presParOf" srcId="{F711D8F4-F649-4F2D-9795-D4D55755E50A}" destId="{1E24523D-C346-4086-A1E2-18FE6C986449}" srcOrd="0" destOrd="0" presId="urn:microsoft.com/office/officeart/2005/8/layout/orgChart1"/>
    <dgm:cxn modelId="{B6E3FC4A-6BFA-496A-8DC1-DB0960A5609E}" type="presParOf" srcId="{F711D8F4-F649-4F2D-9795-D4D55755E50A}" destId="{9FA649E2-52B3-49F6-94EB-0B4A2EAEDCEC}" srcOrd="1" destOrd="0" presId="urn:microsoft.com/office/officeart/2005/8/layout/orgChart1"/>
    <dgm:cxn modelId="{40DEA21F-BA90-42CF-AF2B-C35C3BC25E28}" type="presParOf" srcId="{9FA649E2-52B3-49F6-94EB-0B4A2EAEDCEC}" destId="{ADAA5792-A047-4132-805B-AA2584E0B653}" srcOrd="0" destOrd="0" presId="urn:microsoft.com/office/officeart/2005/8/layout/orgChart1"/>
    <dgm:cxn modelId="{DD46154C-0FB3-4CF9-8E96-F8B684A8EE12}" type="presParOf" srcId="{ADAA5792-A047-4132-805B-AA2584E0B653}" destId="{64019EAF-FAD8-4183-88E0-C6F77A25113C}" srcOrd="0" destOrd="0" presId="urn:microsoft.com/office/officeart/2005/8/layout/orgChart1"/>
    <dgm:cxn modelId="{B34B1E35-2A96-4C0F-942B-82D21E65D3A1}" type="presParOf" srcId="{ADAA5792-A047-4132-805B-AA2584E0B653}" destId="{17554B4F-D54C-4A1A-B87D-A245F297DE8C}" srcOrd="1" destOrd="0" presId="urn:microsoft.com/office/officeart/2005/8/layout/orgChart1"/>
    <dgm:cxn modelId="{91A89A06-E1F4-41E5-98EF-E30B48039228}" type="presParOf" srcId="{9FA649E2-52B3-49F6-94EB-0B4A2EAEDCEC}" destId="{0D0B3AD3-5C0C-4B59-A85D-BCDB51C57193}" srcOrd="1" destOrd="0" presId="urn:microsoft.com/office/officeart/2005/8/layout/orgChart1"/>
    <dgm:cxn modelId="{0E287149-96B6-4794-B0C7-D277F18D0A41}" type="presParOf" srcId="{9FA649E2-52B3-49F6-94EB-0B4A2EAEDCEC}" destId="{34913701-44EC-4CF6-BF91-047E28855FF6}" srcOrd="2" destOrd="0" presId="urn:microsoft.com/office/officeart/2005/8/layout/orgChart1"/>
    <dgm:cxn modelId="{9DFE823B-09B3-4D5B-AF2F-C181C326B9C3}" type="presParOf" srcId="{F711D8F4-F649-4F2D-9795-D4D55755E50A}" destId="{34B6A954-26FA-4D5A-B36E-8CD2D1D6B078}" srcOrd="2" destOrd="0" presId="urn:microsoft.com/office/officeart/2005/8/layout/orgChart1"/>
    <dgm:cxn modelId="{455F28CA-9F63-4063-A4DC-093811D39549}" type="presParOf" srcId="{F711D8F4-F649-4F2D-9795-D4D55755E50A}" destId="{62AE0DE0-D9DA-48D5-9E57-E1B63E0D4368}" srcOrd="3" destOrd="0" presId="urn:microsoft.com/office/officeart/2005/8/layout/orgChart1"/>
    <dgm:cxn modelId="{4107B46F-9A86-4667-943D-419FA4844914}" type="presParOf" srcId="{62AE0DE0-D9DA-48D5-9E57-E1B63E0D4368}" destId="{A5A8BD6B-0DD0-45D2-BE06-3ADB522D5E72}" srcOrd="0" destOrd="0" presId="urn:microsoft.com/office/officeart/2005/8/layout/orgChart1"/>
    <dgm:cxn modelId="{9DACCF8E-A000-4E7A-828A-FE3428DFCC39}" type="presParOf" srcId="{A5A8BD6B-0DD0-45D2-BE06-3ADB522D5E72}" destId="{06BDDADF-3E5C-4DD2-983D-DDB75938912C}" srcOrd="0" destOrd="0" presId="urn:microsoft.com/office/officeart/2005/8/layout/orgChart1"/>
    <dgm:cxn modelId="{D3712AFA-01C8-4CD5-8F41-F58A9F8E183E}" type="presParOf" srcId="{A5A8BD6B-0DD0-45D2-BE06-3ADB522D5E72}" destId="{A9565DC3-2F39-4EAD-A04B-30964B91F244}" srcOrd="1" destOrd="0" presId="urn:microsoft.com/office/officeart/2005/8/layout/orgChart1"/>
    <dgm:cxn modelId="{87AAB15A-842F-4D49-A713-0CE278656E17}" type="presParOf" srcId="{62AE0DE0-D9DA-48D5-9E57-E1B63E0D4368}" destId="{A598CD11-EE1D-43D2-BA62-F45AD1B1D594}" srcOrd="1" destOrd="0" presId="urn:microsoft.com/office/officeart/2005/8/layout/orgChart1"/>
    <dgm:cxn modelId="{41510482-C204-4BEF-8951-904DFAB36A50}" type="presParOf" srcId="{62AE0DE0-D9DA-48D5-9E57-E1B63E0D4368}" destId="{75BB3A2F-6960-4832-B91A-95BBBA7C9D26}" srcOrd="2" destOrd="0" presId="urn:microsoft.com/office/officeart/2005/8/layout/orgChart1"/>
    <dgm:cxn modelId="{7338369C-A006-49ED-A57E-13F0344AE438}" type="presParOf" srcId="{1FF0C1C7-861F-4CF8-9C1F-6E82E1C194C6}" destId="{26A1B3A3-44CE-4DFC-A37B-DEB5A231E74D}" srcOrd="2" destOrd="0" presId="urn:microsoft.com/office/officeart/2005/8/layout/orgChart1"/>
    <dgm:cxn modelId="{E9DE80A3-0A9D-45A0-AA3F-9EC834E7AEB5}" type="presParOf" srcId="{E754D133-A013-4E4D-889E-24020FD2BE7E}" destId="{5CBA0914-AD34-4D28-B54E-18DB06E34347}" srcOrd="2" destOrd="0" presId="urn:microsoft.com/office/officeart/2005/8/layout/orgChart1"/>
    <dgm:cxn modelId="{DE61BED1-F2A1-414D-8443-DE5880E4FB2B}" type="presParOf" srcId="{E754D133-A013-4E4D-889E-24020FD2BE7E}" destId="{BC8E486B-EB8D-460B-A39B-4CF44E85DE06}" srcOrd="3" destOrd="0" presId="urn:microsoft.com/office/officeart/2005/8/layout/orgChart1"/>
    <dgm:cxn modelId="{B0614BC7-74EF-4239-9EB3-D78D1E6C8C86}" type="presParOf" srcId="{BC8E486B-EB8D-460B-A39B-4CF44E85DE06}" destId="{6AE7B617-A78A-4833-9FA5-76758D77930F}" srcOrd="0" destOrd="0" presId="urn:microsoft.com/office/officeart/2005/8/layout/orgChart1"/>
    <dgm:cxn modelId="{1195EA80-E756-45BF-BF39-9C28972B4208}" type="presParOf" srcId="{6AE7B617-A78A-4833-9FA5-76758D77930F}" destId="{9D4ED0E6-C383-4B09-897A-F3AD0CEF5528}" srcOrd="0" destOrd="0" presId="urn:microsoft.com/office/officeart/2005/8/layout/orgChart1"/>
    <dgm:cxn modelId="{26C9210F-93E4-41B8-9B45-2B65A2B460D8}" type="presParOf" srcId="{6AE7B617-A78A-4833-9FA5-76758D77930F}" destId="{F6DE5D49-C83E-4000-BC1E-79AB87AFFFCA}" srcOrd="1" destOrd="0" presId="urn:microsoft.com/office/officeart/2005/8/layout/orgChart1"/>
    <dgm:cxn modelId="{F1408458-A324-4204-A28D-DCDA684F6280}" type="presParOf" srcId="{BC8E486B-EB8D-460B-A39B-4CF44E85DE06}" destId="{1E00BF08-F7EA-4822-8ED0-0E8116BACC05}" srcOrd="1" destOrd="0" presId="urn:microsoft.com/office/officeart/2005/8/layout/orgChart1"/>
    <dgm:cxn modelId="{A156BEED-21A4-4DA7-AEF5-65C79B8C401B}" type="presParOf" srcId="{1E00BF08-F7EA-4822-8ED0-0E8116BACC05}" destId="{32928964-300F-49A8-96F4-7D6993C2F759}" srcOrd="0" destOrd="0" presId="urn:microsoft.com/office/officeart/2005/8/layout/orgChart1"/>
    <dgm:cxn modelId="{5D61F8BB-AC9A-4C1B-9A21-33D6EBC383EA}" type="presParOf" srcId="{1E00BF08-F7EA-4822-8ED0-0E8116BACC05}" destId="{3350A182-9FF6-4E79-869A-3FC053464D6B}" srcOrd="1" destOrd="0" presId="urn:microsoft.com/office/officeart/2005/8/layout/orgChart1"/>
    <dgm:cxn modelId="{BBA2BE6A-F267-40BA-8336-C5BD0F907300}" type="presParOf" srcId="{3350A182-9FF6-4E79-869A-3FC053464D6B}" destId="{49942C16-5BD7-401E-8A22-CE88C708B341}" srcOrd="0" destOrd="0" presId="urn:microsoft.com/office/officeart/2005/8/layout/orgChart1"/>
    <dgm:cxn modelId="{B28D8E7E-219D-4D79-AD76-12BC438477FA}" type="presParOf" srcId="{49942C16-5BD7-401E-8A22-CE88C708B341}" destId="{37134096-CEFA-4402-B379-C62253F363C6}" srcOrd="0" destOrd="0" presId="urn:microsoft.com/office/officeart/2005/8/layout/orgChart1"/>
    <dgm:cxn modelId="{22FE4BCE-AFCC-40BD-8308-03D531BE2D2B}" type="presParOf" srcId="{49942C16-5BD7-401E-8A22-CE88C708B341}" destId="{1B97778D-7B8C-4C50-A564-BCCE4FD6104F}" srcOrd="1" destOrd="0" presId="urn:microsoft.com/office/officeart/2005/8/layout/orgChart1"/>
    <dgm:cxn modelId="{74E9639D-EE86-4F3C-A7B8-02751BD29076}" type="presParOf" srcId="{3350A182-9FF6-4E79-869A-3FC053464D6B}" destId="{7B8A1427-D1FA-4E12-9ADA-6EFA37E01C17}" srcOrd="1" destOrd="0" presId="urn:microsoft.com/office/officeart/2005/8/layout/orgChart1"/>
    <dgm:cxn modelId="{35B1334B-0C68-40B4-9C18-63B791A1C54C}" type="presParOf" srcId="{3350A182-9FF6-4E79-869A-3FC053464D6B}" destId="{5E0918D5-FF32-485F-AA70-0B18813ED6C3}" srcOrd="2" destOrd="0" presId="urn:microsoft.com/office/officeart/2005/8/layout/orgChart1"/>
    <dgm:cxn modelId="{935ACBE7-F90D-4419-AF26-AB6CBE7815D3}" type="presParOf" srcId="{1E00BF08-F7EA-4822-8ED0-0E8116BACC05}" destId="{85667F87-3D0A-453D-A724-68956A12ED95}" srcOrd="2" destOrd="0" presId="urn:microsoft.com/office/officeart/2005/8/layout/orgChart1"/>
    <dgm:cxn modelId="{909B3D45-E27A-4304-9EC3-B1B11E5B15D8}" type="presParOf" srcId="{1E00BF08-F7EA-4822-8ED0-0E8116BACC05}" destId="{1AD76548-2D3A-44A4-9ABD-B304594C1799}" srcOrd="3" destOrd="0" presId="urn:microsoft.com/office/officeart/2005/8/layout/orgChart1"/>
    <dgm:cxn modelId="{9765FFD1-3D92-4B22-9342-0AA2F38EFDD9}" type="presParOf" srcId="{1AD76548-2D3A-44A4-9ABD-B304594C1799}" destId="{5B877641-1D4D-4DBA-9B9F-F2AB39DEA74B}" srcOrd="0" destOrd="0" presId="urn:microsoft.com/office/officeart/2005/8/layout/orgChart1"/>
    <dgm:cxn modelId="{B5C7FAB4-7504-40F8-B0BF-E125315465C1}" type="presParOf" srcId="{5B877641-1D4D-4DBA-9B9F-F2AB39DEA74B}" destId="{40EE3F0E-7F4C-4EC8-A633-9BC7979E4608}" srcOrd="0" destOrd="0" presId="urn:microsoft.com/office/officeart/2005/8/layout/orgChart1"/>
    <dgm:cxn modelId="{D724B73C-1A65-4AE9-9793-A78C1D88BFCB}" type="presParOf" srcId="{5B877641-1D4D-4DBA-9B9F-F2AB39DEA74B}" destId="{8633D2D5-7884-4A2F-976D-90F36C9A2FB1}" srcOrd="1" destOrd="0" presId="urn:microsoft.com/office/officeart/2005/8/layout/orgChart1"/>
    <dgm:cxn modelId="{F4810ED3-0DCA-4ACA-948C-FA1F15430892}" type="presParOf" srcId="{1AD76548-2D3A-44A4-9ABD-B304594C1799}" destId="{48F77BE3-AFA0-409A-BC18-091002F5A5A5}" srcOrd="1" destOrd="0" presId="urn:microsoft.com/office/officeart/2005/8/layout/orgChart1"/>
    <dgm:cxn modelId="{88363E5E-A2A7-437F-B924-6B0B62365031}" type="presParOf" srcId="{1AD76548-2D3A-44A4-9ABD-B304594C1799}" destId="{8A462A35-979E-4289-B33A-0F85C00AD755}" srcOrd="2" destOrd="0" presId="urn:microsoft.com/office/officeart/2005/8/layout/orgChart1"/>
    <dgm:cxn modelId="{7B206B27-D5D7-4FBD-824B-A02872A9CEF8}" type="presParOf" srcId="{1E00BF08-F7EA-4822-8ED0-0E8116BACC05}" destId="{313CC449-35A1-472F-80F9-C24669D1EB6A}" srcOrd="4" destOrd="0" presId="urn:microsoft.com/office/officeart/2005/8/layout/orgChart1"/>
    <dgm:cxn modelId="{197B5FBD-7688-4385-86FB-570417A6A358}" type="presParOf" srcId="{1E00BF08-F7EA-4822-8ED0-0E8116BACC05}" destId="{28974573-65ED-49E4-A560-145192818D5A}" srcOrd="5" destOrd="0" presId="urn:microsoft.com/office/officeart/2005/8/layout/orgChart1"/>
    <dgm:cxn modelId="{AB422AEE-E358-4373-B89D-DF059FA15278}" type="presParOf" srcId="{28974573-65ED-49E4-A560-145192818D5A}" destId="{BC4B11C0-790C-42CB-B33F-D67666F9B4B0}" srcOrd="0" destOrd="0" presId="urn:microsoft.com/office/officeart/2005/8/layout/orgChart1"/>
    <dgm:cxn modelId="{1C97F661-3DC1-466A-9462-FE46558BC566}" type="presParOf" srcId="{BC4B11C0-790C-42CB-B33F-D67666F9B4B0}" destId="{18912215-AD19-4582-82E0-ECF19D0D6931}" srcOrd="0" destOrd="0" presId="urn:microsoft.com/office/officeart/2005/8/layout/orgChart1"/>
    <dgm:cxn modelId="{1436AE4F-62D4-4B20-A5CA-84C950B7F065}" type="presParOf" srcId="{BC4B11C0-790C-42CB-B33F-D67666F9B4B0}" destId="{EC2DD2F7-A698-482F-8E7D-B35F02E4BE57}" srcOrd="1" destOrd="0" presId="urn:microsoft.com/office/officeart/2005/8/layout/orgChart1"/>
    <dgm:cxn modelId="{52F30EFE-6981-467E-9196-280D765F7AED}" type="presParOf" srcId="{28974573-65ED-49E4-A560-145192818D5A}" destId="{985C708A-0DBA-43E0-A44B-577E3053DFE3}" srcOrd="1" destOrd="0" presId="urn:microsoft.com/office/officeart/2005/8/layout/orgChart1"/>
    <dgm:cxn modelId="{7716693A-3A04-4E52-974E-C33E8A701D3F}" type="presParOf" srcId="{28974573-65ED-49E4-A560-145192818D5A}" destId="{12CD1386-0149-4382-B5CA-5BDB6B0937C9}" srcOrd="2" destOrd="0" presId="urn:microsoft.com/office/officeart/2005/8/layout/orgChart1"/>
    <dgm:cxn modelId="{BD34AD50-4E05-4D33-A6CD-C3A9F1221B06}" type="presParOf" srcId="{1E00BF08-F7EA-4822-8ED0-0E8116BACC05}" destId="{C89A0525-9B56-498A-9974-E194D186A96B}" srcOrd="6" destOrd="0" presId="urn:microsoft.com/office/officeart/2005/8/layout/orgChart1"/>
    <dgm:cxn modelId="{C5BA1C2F-0A7F-4B92-B511-14923F063622}" type="presParOf" srcId="{1E00BF08-F7EA-4822-8ED0-0E8116BACC05}" destId="{339A6441-5E76-48EE-8F1D-DC554DAFE985}" srcOrd="7" destOrd="0" presId="urn:microsoft.com/office/officeart/2005/8/layout/orgChart1"/>
    <dgm:cxn modelId="{0F5EE7D0-2DA1-495F-887F-80B3FB474CCB}" type="presParOf" srcId="{339A6441-5E76-48EE-8F1D-DC554DAFE985}" destId="{73229B1B-A4FF-4E06-BB30-A3101373551F}" srcOrd="0" destOrd="0" presId="urn:microsoft.com/office/officeart/2005/8/layout/orgChart1"/>
    <dgm:cxn modelId="{A13AC3AD-F492-4BC8-9C56-E4994DFD5A1D}" type="presParOf" srcId="{73229B1B-A4FF-4E06-BB30-A3101373551F}" destId="{615F7F4C-3611-4433-8308-EAA63BB3953F}" srcOrd="0" destOrd="0" presId="urn:microsoft.com/office/officeart/2005/8/layout/orgChart1"/>
    <dgm:cxn modelId="{2BED4A5F-FAF1-4269-9DFF-A74D4C313BFA}" type="presParOf" srcId="{73229B1B-A4FF-4E06-BB30-A3101373551F}" destId="{2CCA4695-B444-48DB-B468-4F52625D98BD}" srcOrd="1" destOrd="0" presId="urn:microsoft.com/office/officeart/2005/8/layout/orgChart1"/>
    <dgm:cxn modelId="{DD3F2D57-5446-45F8-82E6-7217770A814D}" type="presParOf" srcId="{339A6441-5E76-48EE-8F1D-DC554DAFE985}" destId="{B1D2C485-823A-4E43-9D97-873C5BBBB35A}" srcOrd="1" destOrd="0" presId="urn:microsoft.com/office/officeart/2005/8/layout/orgChart1"/>
    <dgm:cxn modelId="{18734240-D0D4-4FBB-90B5-427240304530}" type="presParOf" srcId="{339A6441-5E76-48EE-8F1D-DC554DAFE985}" destId="{0C522E49-F75A-4557-BB10-704131015D63}" srcOrd="2" destOrd="0" presId="urn:microsoft.com/office/officeart/2005/8/layout/orgChart1"/>
    <dgm:cxn modelId="{549E4FAA-A28D-4BC3-AC0E-0D32BB161427}" type="presParOf" srcId="{1E00BF08-F7EA-4822-8ED0-0E8116BACC05}" destId="{1B13674D-78FF-4012-9A72-2B58CF258B9A}" srcOrd="8" destOrd="0" presId="urn:microsoft.com/office/officeart/2005/8/layout/orgChart1"/>
    <dgm:cxn modelId="{259ED2E5-A01A-4DF5-85CC-C290A90DA4AB}" type="presParOf" srcId="{1E00BF08-F7EA-4822-8ED0-0E8116BACC05}" destId="{EC098576-EF09-44D1-B412-F7B0F32E12AB}" srcOrd="9" destOrd="0" presId="urn:microsoft.com/office/officeart/2005/8/layout/orgChart1"/>
    <dgm:cxn modelId="{7080DE7B-59E6-4F1A-B0FF-616A3E44F7BC}" type="presParOf" srcId="{EC098576-EF09-44D1-B412-F7B0F32E12AB}" destId="{6CAFC192-D1EE-4F16-8721-81D15E586988}" srcOrd="0" destOrd="0" presId="urn:microsoft.com/office/officeart/2005/8/layout/orgChart1"/>
    <dgm:cxn modelId="{C8A57DB1-9258-4DFA-A3BC-F26883D0E453}" type="presParOf" srcId="{6CAFC192-D1EE-4F16-8721-81D15E586988}" destId="{889650AB-9127-477E-B314-91B01F4BE892}" srcOrd="0" destOrd="0" presId="urn:microsoft.com/office/officeart/2005/8/layout/orgChart1"/>
    <dgm:cxn modelId="{CDC5EDB0-B439-4474-8BFC-BDDAD1BF6A2C}" type="presParOf" srcId="{6CAFC192-D1EE-4F16-8721-81D15E586988}" destId="{C5D10F7E-2D7D-4052-928E-DB35945119EA}" srcOrd="1" destOrd="0" presId="urn:microsoft.com/office/officeart/2005/8/layout/orgChart1"/>
    <dgm:cxn modelId="{3F25A80F-EE3B-4AC6-9A04-CD8AC7D6A6FE}" type="presParOf" srcId="{EC098576-EF09-44D1-B412-F7B0F32E12AB}" destId="{8C7C9896-37C5-4776-9257-DED7CA143F50}" srcOrd="1" destOrd="0" presId="urn:microsoft.com/office/officeart/2005/8/layout/orgChart1"/>
    <dgm:cxn modelId="{2531DC90-7263-4C55-9F08-CFD1980BA48F}" type="presParOf" srcId="{EC098576-EF09-44D1-B412-F7B0F32E12AB}" destId="{B5078880-8A83-4A82-B1DA-99BAC790A70F}" srcOrd="2" destOrd="0" presId="urn:microsoft.com/office/officeart/2005/8/layout/orgChart1"/>
    <dgm:cxn modelId="{9E6538A5-8F84-4C41-853C-E2FA8DD71838}" type="presParOf" srcId="{1E00BF08-F7EA-4822-8ED0-0E8116BACC05}" destId="{B592EF1A-D665-4988-9731-80A484C2FD33}" srcOrd="10" destOrd="0" presId="urn:microsoft.com/office/officeart/2005/8/layout/orgChart1"/>
    <dgm:cxn modelId="{7DE9C281-82EB-400F-817E-B84B3225EDCD}" type="presParOf" srcId="{1E00BF08-F7EA-4822-8ED0-0E8116BACC05}" destId="{13B34AC3-5D90-4CA6-8A06-0138CB24B10B}" srcOrd="11" destOrd="0" presId="urn:microsoft.com/office/officeart/2005/8/layout/orgChart1"/>
    <dgm:cxn modelId="{2733D490-E225-4E11-BF9D-9AD3EDD4B4BA}" type="presParOf" srcId="{13B34AC3-5D90-4CA6-8A06-0138CB24B10B}" destId="{E7AF0989-C615-462D-B9A7-F82BCC686D5A}" srcOrd="0" destOrd="0" presId="urn:microsoft.com/office/officeart/2005/8/layout/orgChart1"/>
    <dgm:cxn modelId="{517CA85E-17EE-48E9-863B-7C03F940BFB6}" type="presParOf" srcId="{E7AF0989-C615-462D-B9A7-F82BCC686D5A}" destId="{79395CC9-51A5-4282-A953-C8D273979951}" srcOrd="0" destOrd="0" presId="urn:microsoft.com/office/officeart/2005/8/layout/orgChart1"/>
    <dgm:cxn modelId="{8D6BCFB6-7EB1-4AA4-9525-DC61C1086B6F}" type="presParOf" srcId="{E7AF0989-C615-462D-B9A7-F82BCC686D5A}" destId="{D5890313-D19E-41B8-8B68-E3A1E1FCE36E}" srcOrd="1" destOrd="0" presId="urn:microsoft.com/office/officeart/2005/8/layout/orgChart1"/>
    <dgm:cxn modelId="{19E57C18-ABA4-4DBC-B25D-C5E12F444107}" type="presParOf" srcId="{13B34AC3-5D90-4CA6-8A06-0138CB24B10B}" destId="{FC9F61FE-780C-4EBF-870F-DFCE18654566}" srcOrd="1" destOrd="0" presId="urn:microsoft.com/office/officeart/2005/8/layout/orgChart1"/>
    <dgm:cxn modelId="{EAFF12FF-E58F-4644-93C7-6494D5A9E187}" type="presParOf" srcId="{13B34AC3-5D90-4CA6-8A06-0138CB24B10B}" destId="{8C6D5973-DA9E-45BD-8C43-BDD116645CB2}" srcOrd="2" destOrd="0" presId="urn:microsoft.com/office/officeart/2005/8/layout/orgChart1"/>
    <dgm:cxn modelId="{CC8E4CFA-10D3-4AC1-BB08-92D706C11297}" type="presParOf" srcId="{1E00BF08-F7EA-4822-8ED0-0E8116BACC05}" destId="{24114EB2-3267-414A-9E41-AD25B3B32DF2}" srcOrd="12" destOrd="0" presId="urn:microsoft.com/office/officeart/2005/8/layout/orgChart1"/>
    <dgm:cxn modelId="{7994E463-CA15-4954-A3AE-8341A32A132D}" type="presParOf" srcId="{1E00BF08-F7EA-4822-8ED0-0E8116BACC05}" destId="{ED3ADB1C-6201-4342-B1D5-7618AA492A6A}" srcOrd="13" destOrd="0" presId="urn:microsoft.com/office/officeart/2005/8/layout/orgChart1"/>
    <dgm:cxn modelId="{B638189B-FC88-4D5E-8495-3D2604CE3402}" type="presParOf" srcId="{ED3ADB1C-6201-4342-B1D5-7618AA492A6A}" destId="{82879A08-10E7-494F-82C1-E1BDEBDBD0BC}" srcOrd="0" destOrd="0" presId="urn:microsoft.com/office/officeart/2005/8/layout/orgChart1"/>
    <dgm:cxn modelId="{F9184C75-F01E-47D8-B781-EC8A948832AA}" type="presParOf" srcId="{82879A08-10E7-494F-82C1-E1BDEBDBD0BC}" destId="{F7BD9E72-0E29-4167-BB17-890B826CCAA4}" srcOrd="0" destOrd="0" presId="urn:microsoft.com/office/officeart/2005/8/layout/orgChart1"/>
    <dgm:cxn modelId="{E74E0B90-0C28-41B5-8F73-DEB8C1B392B8}" type="presParOf" srcId="{82879A08-10E7-494F-82C1-E1BDEBDBD0BC}" destId="{4F9CBE41-C8CD-4F09-8170-165D7B228FF1}" srcOrd="1" destOrd="0" presId="urn:microsoft.com/office/officeart/2005/8/layout/orgChart1"/>
    <dgm:cxn modelId="{891CC8A5-04D3-444D-8FE1-2DB57A591692}" type="presParOf" srcId="{ED3ADB1C-6201-4342-B1D5-7618AA492A6A}" destId="{6E8B7DA9-4FF4-4396-9FCA-D112561878C3}" srcOrd="1" destOrd="0" presId="urn:microsoft.com/office/officeart/2005/8/layout/orgChart1"/>
    <dgm:cxn modelId="{B1C08766-A5EE-45A3-A316-A19174557783}" type="presParOf" srcId="{ED3ADB1C-6201-4342-B1D5-7618AA492A6A}" destId="{BBDEBCE7-D849-4489-9DC3-4EA6C062F197}" srcOrd="2" destOrd="0" presId="urn:microsoft.com/office/officeart/2005/8/layout/orgChart1"/>
    <dgm:cxn modelId="{88F434D3-B35C-43B3-9AF9-0AB173D275BA}" type="presParOf" srcId="{1E00BF08-F7EA-4822-8ED0-0E8116BACC05}" destId="{4834B4B1-458A-49CF-A480-35E9BE88E0E4}" srcOrd="14" destOrd="0" presId="urn:microsoft.com/office/officeart/2005/8/layout/orgChart1"/>
    <dgm:cxn modelId="{5FE5BCA1-B002-403D-9EE5-95743D960CFD}" type="presParOf" srcId="{1E00BF08-F7EA-4822-8ED0-0E8116BACC05}" destId="{408EB5C4-28C1-4756-851F-F2715B833FA1}" srcOrd="15" destOrd="0" presId="urn:microsoft.com/office/officeart/2005/8/layout/orgChart1"/>
    <dgm:cxn modelId="{13288944-8D3A-4ACF-8BB1-17857419AE65}" type="presParOf" srcId="{408EB5C4-28C1-4756-851F-F2715B833FA1}" destId="{6D31CE6E-7301-4218-AD8E-5734181A9923}" srcOrd="0" destOrd="0" presId="urn:microsoft.com/office/officeart/2005/8/layout/orgChart1"/>
    <dgm:cxn modelId="{06CE8203-285D-4508-B173-79E538E91762}" type="presParOf" srcId="{6D31CE6E-7301-4218-AD8E-5734181A9923}" destId="{F3946B89-6477-4600-AAF6-F2CB22E0AC94}" srcOrd="0" destOrd="0" presId="urn:microsoft.com/office/officeart/2005/8/layout/orgChart1"/>
    <dgm:cxn modelId="{5E6746EA-DCF7-4FC5-B146-E234B5F02B27}" type="presParOf" srcId="{6D31CE6E-7301-4218-AD8E-5734181A9923}" destId="{593FCD46-501C-43DB-B3CC-6AF3FCED48F1}" srcOrd="1" destOrd="0" presId="urn:microsoft.com/office/officeart/2005/8/layout/orgChart1"/>
    <dgm:cxn modelId="{C78A5006-959C-42D2-A781-D6F832FE4AA8}" type="presParOf" srcId="{408EB5C4-28C1-4756-851F-F2715B833FA1}" destId="{658FCDCA-D981-469B-8532-824C0DA65679}" srcOrd="1" destOrd="0" presId="urn:microsoft.com/office/officeart/2005/8/layout/orgChart1"/>
    <dgm:cxn modelId="{61CBDBA4-26C3-4EDE-800D-FA954737C7BF}" type="presParOf" srcId="{408EB5C4-28C1-4756-851F-F2715B833FA1}" destId="{3F2DC9C9-141E-49DE-B15A-A654199C7A55}" srcOrd="2" destOrd="0" presId="urn:microsoft.com/office/officeart/2005/8/layout/orgChart1"/>
    <dgm:cxn modelId="{07AC8E24-2C8E-4A14-9B8B-EB2802F9C3AA}" type="presParOf" srcId="{1E00BF08-F7EA-4822-8ED0-0E8116BACC05}" destId="{61FE8154-8F1B-49CB-B109-08F72155D24C}" srcOrd="16" destOrd="0" presId="urn:microsoft.com/office/officeart/2005/8/layout/orgChart1"/>
    <dgm:cxn modelId="{85FC1232-F616-4ECD-B61C-D06CD3725801}" type="presParOf" srcId="{1E00BF08-F7EA-4822-8ED0-0E8116BACC05}" destId="{2F2AA934-2BD3-41A6-B888-31740EF92D76}" srcOrd="17" destOrd="0" presId="urn:microsoft.com/office/officeart/2005/8/layout/orgChart1"/>
    <dgm:cxn modelId="{10DF22D9-EDCB-481B-8B71-CC1832F2E418}" type="presParOf" srcId="{2F2AA934-2BD3-41A6-B888-31740EF92D76}" destId="{4AC74CA5-1E89-4D07-87FD-3553C8DFE624}" srcOrd="0" destOrd="0" presId="urn:microsoft.com/office/officeart/2005/8/layout/orgChart1"/>
    <dgm:cxn modelId="{7784CFDA-EC03-4C59-84CA-262D1E3CDD2C}" type="presParOf" srcId="{4AC74CA5-1E89-4D07-87FD-3553C8DFE624}" destId="{D0C4C535-8F8B-434C-97BB-3E1F632C3A96}" srcOrd="0" destOrd="0" presId="urn:microsoft.com/office/officeart/2005/8/layout/orgChart1"/>
    <dgm:cxn modelId="{A7414EF4-2E6B-44EC-A3E6-E2A11B2327E5}" type="presParOf" srcId="{4AC74CA5-1E89-4D07-87FD-3553C8DFE624}" destId="{9D011998-2BB8-4D33-BB2B-C2CD055CFEA9}" srcOrd="1" destOrd="0" presId="urn:microsoft.com/office/officeart/2005/8/layout/orgChart1"/>
    <dgm:cxn modelId="{A4DB5C93-2B10-4667-85F8-C33FF7074106}" type="presParOf" srcId="{2F2AA934-2BD3-41A6-B888-31740EF92D76}" destId="{07238F54-2548-461F-A607-1840A4A2F994}" srcOrd="1" destOrd="0" presId="urn:microsoft.com/office/officeart/2005/8/layout/orgChart1"/>
    <dgm:cxn modelId="{8FA05A7B-9816-4AEB-8EA3-3B626E704139}" type="presParOf" srcId="{2F2AA934-2BD3-41A6-B888-31740EF92D76}" destId="{13D0300E-99AC-4123-84F0-B5040EEA84E6}" srcOrd="2" destOrd="0" presId="urn:microsoft.com/office/officeart/2005/8/layout/orgChart1"/>
    <dgm:cxn modelId="{F79482E3-9CD6-42E7-9AB0-F35101D068F5}" type="presParOf" srcId="{BC8E486B-EB8D-460B-A39B-4CF44E85DE06}" destId="{A2B6DAD3-0C62-4686-8EE3-5AA1AB19235D}" srcOrd="2" destOrd="0" presId="urn:microsoft.com/office/officeart/2005/8/layout/orgChart1"/>
    <dgm:cxn modelId="{AF1BF201-ED0F-497C-8664-F9D2B4C59FB1}" type="presParOf" srcId="{04FA824C-FFCB-4D1F-AA13-53BD340E89D4}" destId="{023F2B8F-2BE6-41E9-8A87-82A5618D4C38}" srcOrd="2" destOrd="0" presId="urn:microsoft.com/office/officeart/2005/8/layout/orgChart1"/>
    <dgm:cxn modelId="{4763D1BA-5ED9-461C-9D93-E5EFE601A24C}" type="presParOf" srcId="{EAF3D06E-756D-4DF0-B22D-D903B12F4F84}" destId="{EBDD3410-B4AB-4752-918F-E0222A185495}" srcOrd="4" destOrd="0" presId="urn:microsoft.com/office/officeart/2005/8/layout/orgChart1"/>
    <dgm:cxn modelId="{4D316ACE-BE88-43DD-97EB-18C293E64BA3}" type="presParOf" srcId="{EAF3D06E-756D-4DF0-B22D-D903B12F4F84}" destId="{E0DF682B-3F20-4CBE-B35C-0C1BDC298FD1}" srcOrd="5" destOrd="0" presId="urn:microsoft.com/office/officeart/2005/8/layout/orgChart1"/>
    <dgm:cxn modelId="{94408B86-6FF9-4B57-880E-1E0CE9D6902D}" type="presParOf" srcId="{E0DF682B-3F20-4CBE-B35C-0C1BDC298FD1}" destId="{05935CEC-DD8F-462A-9CE2-F2A15AED6B11}" srcOrd="0" destOrd="0" presId="urn:microsoft.com/office/officeart/2005/8/layout/orgChart1"/>
    <dgm:cxn modelId="{D06D8B50-FD9D-4E0D-9886-C16BF98D9386}" type="presParOf" srcId="{05935CEC-DD8F-462A-9CE2-F2A15AED6B11}" destId="{02417033-4F70-4833-BF9B-BE5C3C63BC58}" srcOrd="0" destOrd="0" presId="urn:microsoft.com/office/officeart/2005/8/layout/orgChart1"/>
    <dgm:cxn modelId="{0DFFA94C-ABC8-43D8-B009-334B0E55B360}" type="presParOf" srcId="{05935CEC-DD8F-462A-9CE2-F2A15AED6B11}" destId="{C117A54F-949F-40BF-8970-6A2DBF16FF60}" srcOrd="1" destOrd="0" presId="urn:microsoft.com/office/officeart/2005/8/layout/orgChart1"/>
    <dgm:cxn modelId="{5EAC7CA7-B7AB-41AE-9E2D-42D541355A90}" type="presParOf" srcId="{E0DF682B-3F20-4CBE-B35C-0C1BDC298FD1}" destId="{EE28B545-053F-40E9-827D-E68233C34113}" srcOrd="1" destOrd="0" presId="urn:microsoft.com/office/officeart/2005/8/layout/orgChart1"/>
    <dgm:cxn modelId="{6860CA3E-B7B3-40F7-9C51-24FEDECCBC97}" type="presParOf" srcId="{EE28B545-053F-40E9-827D-E68233C34113}" destId="{1C027508-58A3-48B6-8366-B13ECCBBB8A9}" srcOrd="0" destOrd="0" presId="urn:microsoft.com/office/officeart/2005/8/layout/orgChart1"/>
    <dgm:cxn modelId="{126E6766-629C-40AA-934B-15F70974D37D}" type="presParOf" srcId="{EE28B545-053F-40E9-827D-E68233C34113}" destId="{66DAA0B0-CEEC-43C5-ADAF-E1CA1E4F88F9}" srcOrd="1" destOrd="0" presId="urn:microsoft.com/office/officeart/2005/8/layout/orgChart1"/>
    <dgm:cxn modelId="{D21EE6B1-7FED-4D71-81DA-7342EF092480}" type="presParOf" srcId="{66DAA0B0-CEEC-43C5-ADAF-E1CA1E4F88F9}" destId="{44B107A0-F8B9-47A4-B6C7-4A2FA76F84CC}" srcOrd="0" destOrd="0" presId="urn:microsoft.com/office/officeart/2005/8/layout/orgChart1"/>
    <dgm:cxn modelId="{F59616BA-BE30-4ABF-A452-A8BAA1BB1C85}" type="presParOf" srcId="{44B107A0-F8B9-47A4-B6C7-4A2FA76F84CC}" destId="{CBDC2364-FA9C-478D-88EC-BCDD821A9313}" srcOrd="0" destOrd="0" presId="urn:microsoft.com/office/officeart/2005/8/layout/orgChart1"/>
    <dgm:cxn modelId="{8D59890D-2F36-4759-A814-D8AC43350FA8}" type="presParOf" srcId="{44B107A0-F8B9-47A4-B6C7-4A2FA76F84CC}" destId="{EF7B3DDA-94EF-4895-8CF1-E774C0AD948C}" srcOrd="1" destOrd="0" presId="urn:microsoft.com/office/officeart/2005/8/layout/orgChart1"/>
    <dgm:cxn modelId="{D083B5E3-4894-4257-97B8-7A9AB1C0F3EE}" type="presParOf" srcId="{66DAA0B0-CEEC-43C5-ADAF-E1CA1E4F88F9}" destId="{5EA22234-D0E5-4B29-B345-DE509CEEDCC1}" srcOrd="1" destOrd="0" presId="urn:microsoft.com/office/officeart/2005/8/layout/orgChart1"/>
    <dgm:cxn modelId="{28724A38-32D3-4663-AAC4-E0841A25B7BA}" type="presParOf" srcId="{5EA22234-D0E5-4B29-B345-DE509CEEDCC1}" destId="{17E52FFD-D7C4-4AE1-86ED-DC8CE3F9891F}" srcOrd="0" destOrd="0" presId="urn:microsoft.com/office/officeart/2005/8/layout/orgChart1"/>
    <dgm:cxn modelId="{42BCD5B9-0853-4FCB-8DC1-41FBE201C050}" type="presParOf" srcId="{5EA22234-D0E5-4B29-B345-DE509CEEDCC1}" destId="{17E8E3A0-9D82-476F-8EE1-B94B686ED428}" srcOrd="1" destOrd="0" presId="urn:microsoft.com/office/officeart/2005/8/layout/orgChart1"/>
    <dgm:cxn modelId="{625551CA-AF7D-4B26-B220-735C8EAC8DD5}" type="presParOf" srcId="{17E8E3A0-9D82-476F-8EE1-B94B686ED428}" destId="{B272A70E-B074-4F4C-A7A8-5D26CBBE7DB6}" srcOrd="0" destOrd="0" presId="urn:microsoft.com/office/officeart/2005/8/layout/orgChart1"/>
    <dgm:cxn modelId="{0F5768BB-D5D8-4E58-A2A8-2F36C48112C5}" type="presParOf" srcId="{B272A70E-B074-4F4C-A7A8-5D26CBBE7DB6}" destId="{06ECBB3A-A4A2-4E90-9605-3E4CE2C464D7}" srcOrd="0" destOrd="0" presId="urn:microsoft.com/office/officeart/2005/8/layout/orgChart1"/>
    <dgm:cxn modelId="{EF138FD2-9A3C-4A11-9F0C-976BE8BE7FAC}" type="presParOf" srcId="{B272A70E-B074-4F4C-A7A8-5D26CBBE7DB6}" destId="{0630A6DD-830B-4BAB-9CEE-93438D58DCB4}" srcOrd="1" destOrd="0" presId="urn:microsoft.com/office/officeart/2005/8/layout/orgChart1"/>
    <dgm:cxn modelId="{2B1C13BF-05AD-4FCB-B49C-8F689C4A8789}" type="presParOf" srcId="{17E8E3A0-9D82-476F-8EE1-B94B686ED428}" destId="{37E9140C-654D-4CF8-B42E-B72D58FED694}" srcOrd="1" destOrd="0" presId="urn:microsoft.com/office/officeart/2005/8/layout/orgChart1"/>
    <dgm:cxn modelId="{128220F9-1A69-4DE1-850B-A1E4AD1ADCAC}" type="presParOf" srcId="{17E8E3A0-9D82-476F-8EE1-B94B686ED428}" destId="{4C9C49D5-7501-4350-9EAF-B1DAF2C8B35E}" srcOrd="2" destOrd="0" presId="urn:microsoft.com/office/officeart/2005/8/layout/orgChart1"/>
    <dgm:cxn modelId="{1A13D09E-1BAD-4D39-A5C4-91FF4A55EFCD}" type="presParOf" srcId="{5EA22234-D0E5-4B29-B345-DE509CEEDCC1}" destId="{1EB9B82D-4EC7-47EF-BF11-1C4ED13CB71D}" srcOrd="2" destOrd="0" presId="urn:microsoft.com/office/officeart/2005/8/layout/orgChart1"/>
    <dgm:cxn modelId="{A38DE830-8F19-4D56-A03E-299DC0E331B7}" type="presParOf" srcId="{5EA22234-D0E5-4B29-B345-DE509CEEDCC1}" destId="{5A6B92D8-4580-473C-A936-13AAC33E2B7D}" srcOrd="3" destOrd="0" presId="urn:microsoft.com/office/officeart/2005/8/layout/orgChart1"/>
    <dgm:cxn modelId="{E7BC0AB0-E2A9-4715-A975-4D5541ACC4B2}" type="presParOf" srcId="{5A6B92D8-4580-473C-A936-13AAC33E2B7D}" destId="{E8C1E883-3B58-47B5-B4BB-0A714BE77011}" srcOrd="0" destOrd="0" presId="urn:microsoft.com/office/officeart/2005/8/layout/orgChart1"/>
    <dgm:cxn modelId="{B84B8576-8227-4672-98CC-277AB8C6F6B3}" type="presParOf" srcId="{E8C1E883-3B58-47B5-B4BB-0A714BE77011}" destId="{7CFEB5C5-DB95-4C1C-BB46-9BCE3FCC08A9}" srcOrd="0" destOrd="0" presId="urn:microsoft.com/office/officeart/2005/8/layout/orgChart1"/>
    <dgm:cxn modelId="{6F679D3C-F670-4716-9C44-90BA13431340}" type="presParOf" srcId="{E8C1E883-3B58-47B5-B4BB-0A714BE77011}" destId="{38B87495-7E86-4B86-AD1D-C84B2553C622}" srcOrd="1" destOrd="0" presId="urn:microsoft.com/office/officeart/2005/8/layout/orgChart1"/>
    <dgm:cxn modelId="{976FBB69-0E53-48BB-A8DD-7B88234E1734}" type="presParOf" srcId="{5A6B92D8-4580-473C-A936-13AAC33E2B7D}" destId="{95DE60DC-FFDE-432A-B943-ACEA42D3E62C}" srcOrd="1" destOrd="0" presId="urn:microsoft.com/office/officeart/2005/8/layout/orgChart1"/>
    <dgm:cxn modelId="{BC0BFD68-B64C-4A72-8444-A99A095C39C9}" type="presParOf" srcId="{5A6B92D8-4580-473C-A936-13AAC33E2B7D}" destId="{0F1CD0FE-D543-431F-9839-E386312603D3}" srcOrd="2" destOrd="0" presId="urn:microsoft.com/office/officeart/2005/8/layout/orgChart1"/>
    <dgm:cxn modelId="{C9310486-B8E0-44BE-ADE8-E637BAAC4D4D}" type="presParOf" srcId="{5EA22234-D0E5-4B29-B345-DE509CEEDCC1}" destId="{648812C7-002A-44DD-B9BE-60091A132EE0}" srcOrd="4" destOrd="0" presId="urn:microsoft.com/office/officeart/2005/8/layout/orgChart1"/>
    <dgm:cxn modelId="{91438AF2-6106-4895-9F4C-D6F77BBD3B1B}" type="presParOf" srcId="{5EA22234-D0E5-4B29-B345-DE509CEEDCC1}" destId="{D1AE7CE3-2726-42E4-995D-F9BAE2259ACE}" srcOrd="5" destOrd="0" presId="urn:microsoft.com/office/officeart/2005/8/layout/orgChart1"/>
    <dgm:cxn modelId="{7FFCD70F-A2A2-4872-B103-82C87B16BB09}" type="presParOf" srcId="{D1AE7CE3-2726-42E4-995D-F9BAE2259ACE}" destId="{AF37E1FC-3DAB-45F4-94C0-BE69CB7E3E37}" srcOrd="0" destOrd="0" presId="urn:microsoft.com/office/officeart/2005/8/layout/orgChart1"/>
    <dgm:cxn modelId="{8C1F1A52-A863-4B08-9188-2044F1191B94}" type="presParOf" srcId="{AF37E1FC-3DAB-45F4-94C0-BE69CB7E3E37}" destId="{2CA39FCB-1F29-4383-9FF6-3FC9F1864DDA}" srcOrd="0" destOrd="0" presId="urn:microsoft.com/office/officeart/2005/8/layout/orgChart1"/>
    <dgm:cxn modelId="{AAF35125-A74B-4D05-9E13-D641C7EB3322}" type="presParOf" srcId="{AF37E1FC-3DAB-45F4-94C0-BE69CB7E3E37}" destId="{C72EEDF8-4603-4BF3-AECB-3F23D8E33765}" srcOrd="1" destOrd="0" presId="urn:microsoft.com/office/officeart/2005/8/layout/orgChart1"/>
    <dgm:cxn modelId="{F046557A-8B79-497A-B927-C358EA112A16}" type="presParOf" srcId="{D1AE7CE3-2726-42E4-995D-F9BAE2259ACE}" destId="{54E5F36A-C473-41BA-A337-0121B107B28F}" srcOrd="1" destOrd="0" presId="urn:microsoft.com/office/officeart/2005/8/layout/orgChart1"/>
    <dgm:cxn modelId="{BDE54B39-32E8-4D54-B7CA-AE541AF6E785}" type="presParOf" srcId="{D1AE7CE3-2726-42E4-995D-F9BAE2259ACE}" destId="{88288E07-077F-4070-B920-BCBE95B8A94A}" srcOrd="2" destOrd="0" presId="urn:microsoft.com/office/officeart/2005/8/layout/orgChart1"/>
    <dgm:cxn modelId="{6F0BCC58-B19A-425B-B6E8-AFA25ADB7382}" type="presParOf" srcId="{5EA22234-D0E5-4B29-B345-DE509CEEDCC1}" destId="{DE6A658E-981D-43EC-89C2-4450D2869B07}" srcOrd="6" destOrd="0" presId="urn:microsoft.com/office/officeart/2005/8/layout/orgChart1"/>
    <dgm:cxn modelId="{C6085790-D355-4E40-93F5-D6C341ABA224}" type="presParOf" srcId="{5EA22234-D0E5-4B29-B345-DE509CEEDCC1}" destId="{EA97781D-11EF-4D8E-8443-B21D836837C6}" srcOrd="7" destOrd="0" presId="urn:microsoft.com/office/officeart/2005/8/layout/orgChart1"/>
    <dgm:cxn modelId="{2981CB0D-8B9B-41AD-922A-4E41E5A30275}" type="presParOf" srcId="{EA97781D-11EF-4D8E-8443-B21D836837C6}" destId="{69B5973D-F3E5-4E29-98BA-00349FAF8C4A}" srcOrd="0" destOrd="0" presId="urn:microsoft.com/office/officeart/2005/8/layout/orgChart1"/>
    <dgm:cxn modelId="{E85A304A-58C6-495B-A31C-ECC9069E8AB6}" type="presParOf" srcId="{69B5973D-F3E5-4E29-98BA-00349FAF8C4A}" destId="{78D88209-ABE9-46F7-955D-6121E7F0D3E3}" srcOrd="0" destOrd="0" presId="urn:microsoft.com/office/officeart/2005/8/layout/orgChart1"/>
    <dgm:cxn modelId="{2BCAD8A2-7E7D-4F43-9E68-DF91C33406E1}" type="presParOf" srcId="{69B5973D-F3E5-4E29-98BA-00349FAF8C4A}" destId="{158BA06C-740C-4EFE-86F9-0D6BC0153370}" srcOrd="1" destOrd="0" presId="urn:microsoft.com/office/officeart/2005/8/layout/orgChart1"/>
    <dgm:cxn modelId="{BAA5CD04-24FF-4CA8-97A1-4F1B0FB8465B}" type="presParOf" srcId="{EA97781D-11EF-4D8E-8443-B21D836837C6}" destId="{04557AEC-87F0-41A4-8003-FA3AD6A67E6B}" srcOrd="1" destOrd="0" presId="urn:microsoft.com/office/officeart/2005/8/layout/orgChart1"/>
    <dgm:cxn modelId="{36098081-BD64-4AC5-B682-B64F0EB137C8}" type="presParOf" srcId="{EA97781D-11EF-4D8E-8443-B21D836837C6}" destId="{0C342EA4-907D-47F8-B66B-9E4B9F519933}" srcOrd="2" destOrd="0" presId="urn:microsoft.com/office/officeart/2005/8/layout/orgChart1"/>
    <dgm:cxn modelId="{63611645-D1C1-42A7-B3A4-5D1A30E29AA8}" type="presParOf" srcId="{5EA22234-D0E5-4B29-B345-DE509CEEDCC1}" destId="{D62E7ED7-C0F3-43DA-9E0D-BD696A126343}" srcOrd="8" destOrd="0" presId="urn:microsoft.com/office/officeart/2005/8/layout/orgChart1"/>
    <dgm:cxn modelId="{E77C9492-0B2F-45E6-8E6D-643ED2C80AA9}" type="presParOf" srcId="{5EA22234-D0E5-4B29-B345-DE509CEEDCC1}" destId="{132CE22A-FFE7-4B3C-807E-60EBC626E20D}" srcOrd="9" destOrd="0" presId="urn:microsoft.com/office/officeart/2005/8/layout/orgChart1"/>
    <dgm:cxn modelId="{40586639-4465-4E60-ADB9-DF49A27494C2}" type="presParOf" srcId="{132CE22A-FFE7-4B3C-807E-60EBC626E20D}" destId="{4EB7FDA7-3005-4884-B52F-C00B0734E87B}" srcOrd="0" destOrd="0" presId="urn:microsoft.com/office/officeart/2005/8/layout/orgChart1"/>
    <dgm:cxn modelId="{FE268D1E-F043-433E-941B-8A8D80CC3A0A}" type="presParOf" srcId="{4EB7FDA7-3005-4884-B52F-C00B0734E87B}" destId="{5750D2DB-7BD0-4C88-9D71-601C9F4013F0}" srcOrd="0" destOrd="0" presId="urn:microsoft.com/office/officeart/2005/8/layout/orgChart1"/>
    <dgm:cxn modelId="{C2AC7E4E-953F-45FB-BF34-93FDB932B568}" type="presParOf" srcId="{4EB7FDA7-3005-4884-B52F-C00B0734E87B}" destId="{1AB57DBC-4E53-42DD-992F-241C1AF0B8CB}" srcOrd="1" destOrd="0" presId="urn:microsoft.com/office/officeart/2005/8/layout/orgChart1"/>
    <dgm:cxn modelId="{3B7CD8BF-782D-492A-8EDA-F85897FE2120}" type="presParOf" srcId="{132CE22A-FFE7-4B3C-807E-60EBC626E20D}" destId="{74A7D32D-8423-4FC7-906E-0EF94E680454}" srcOrd="1" destOrd="0" presId="urn:microsoft.com/office/officeart/2005/8/layout/orgChart1"/>
    <dgm:cxn modelId="{EFEED4BD-8F2C-4B7B-9F7E-7F826297CE06}" type="presParOf" srcId="{132CE22A-FFE7-4B3C-807E-60EBC626E20D}" destId="{C3294760-5931-48B5-8EB7-78C9F6ABF76B}" srcOrd="2" destOrd="0" presId="urn:microsoft.com/office/officeart/2005/8/layout/orgChart1"/>
    <dgm:cxn modelId="{D2028DB8-03A2-4457-92FC-3A64EFD22B9E}" type="presParOf" srcId="{66DAA0B0-CEEC-43C5-ADAF-E1CA1E4F88F9}" destId="{F13803B8-0F85-409D-924B-54160901B525}" srcOrd="2" destOrd="0" presId="urn:microsoft.com/office/officeart/2005/8/layout/orgChart1"/>
    <dgm:cxn modelId="{255B3753-EC7D-4CE0-AE7A-FA996D1F092B}" type="presParOf" srcId="{E0DF682B-3F20-4CBE-B35C-0C1BDC298FD1}" destId="{DB941933-2924-4309-8259-19C66092594E}" srcOrd="2" destOrd="0" presId="urn:microsoft.com/office/officeart/2005/8/layout/orgChart1"/>
    <dgm:cxn modelId="{FB77114C-C691-49D5-B2E7-765B7DDF36A4}" type="presParOf" srcId="{EAF3D06E-756D-4DF0-B22D-D903B12F4F84}" destId="{CE85D3B1-2383-49A9-8B12-CD03CD11E859}" srcOrd="6" destOrd="0" presId="urn:microsoft.com/office/officeart/2005/8/layout/orgChart1"/>
    <dgm:cxn modelId="{EB97FE50-1580-4270-AC7A-F8E147CCD609}" type="presParOf" srcId="{EAF3D06E-756D-4DF0-B22D-D903B12F4F84}" destId="{C74CE25E-B6C5-4AC6-A25D-D1C698E71FF3}" srcOrd="7" destOrd="0" presId="urn:microsoft.com/office/officeart/2005/8/layout/orgChart1"/>
    <dgm:cxn modelId="{78FB81F0-0B95-452D-B2DE-051D78247F5A}" type="presParOf" srcId="{C74CE25E-B6C5-4AC6-A25D-D1C698E71FF3}" destId="{3A156904-45C9-4C08-B7E3-5297E8590A1F}" srcOrd="0" destOrd="0" presId="urn:microsoft.com/office/officeart/2005/8/layout/orgChart1"/>
    <dgm:cxn modelId="{345F7A71-58B7-4656-A770-32742A379C57}" type="presParOf" srcId="{3A156904-45C9-4C08-B7E3-5297E8590A1F}" destId="{4A6662A2-1504-40CD-AF64-F5F57F951942}" srcOrd="0" destOrd="0" presId="urn:microsoft.com/office/officeart/2005/8/layout/orgChart1"/>
    <dgm:cxn modelId="{E0550B82-7559-443D-AE5D-26C65E25FE64}" type="presParOf" srcId="{3A156904-45C9-4C08-B7E3-5297E8590A1F}" destId="{1B495F72-4A0D-46BB-B84F-BEBC0F7CE239}" srcOrd="1" destOrd="0" presId="urn:microsoft.com/office/officeart/2005/8/layout/orgChart1"/>
    <dgm:cxn modelId="{30C2E6E3-28F6-4FBD-AEF6-A61B0A7BE5A7}" type="presParOf" srcId="{C74CE25E-B6C5-4AC6-A25D-D1C698E71FF3}" destId="{6F40142D-A64C-422D-9270-D852D228731B}" srcOrd="1" destOrd="0" presId="urn:microsoft.com/office/officeart/2005/8/layout/orgChart1"/>
    <dgm:cxn modelId="{D111C495-1235-4C7A-8123-B7C319E53B9D}" type="presParOf" srcId="{6F40142D-A64C-422D-9270-D852D228731B}" destId="{73EEF80B-D0D3-4D30-8453-1B9D01227862}" srcOrd="0" destOrd="0" presId="urn:microsoft.com/office/officeart/2005/8/layout/orgChart1"/>
    <dgm:cxn modelId="{E708A651-5A2A-4066-99C8-ACF47C7475CC}" type="presParOf" srcId="{6F40142D-A64C-422D-9270-D852D228731B}" destId="{34C37452-7E1C-41AF-AA2C-ADAFC94295CE}" srcOrd="1" destOrd="0" presId="urn:microsoft.com/office/officeart/2005/8/layout/orgChart1"/>
    <dgm:cxn modelId="{6CE9FC56-F47D-445E-BA36-8FC18944FCF4}" type="presParOf" srcId="{34C37452-7E1C-41AF-AA2C-ADAFC94295CE}" destId="{34A96B98-886E-4D3C-BBC3-2AE950A06F96}" srcOrd="0" destOrd="0" presId="urn:microsoft.com/office/officeart/2005/8/layout/orgChart1"/>
    <dgm:cxn modelId="{B417DB65-DF50-4AB2-AE67-7C6004541CA4}" type="presParOf" srcId="{34A96B98-886E-4D3C-BBC3-2AE950A06F96}" destId="{A522D678-6637-4220-9424-9A76DF65585E}" srcOrd="0" destOrd="0" presId="urn:microsoft.com/office/officeart/2005/8/layout/orgChart1"/>
    <dgm:cxn modelId="{092B968F-1DEA-4250-9460-CBBEDECAC6C7}" type="presParOf" srcId="{34A96B98-886E-4D3C-BBC3-2AE950A06F96}" destId="{B942C116-9D45-438D-A41E-D951B6AABE44}" srcOrd="1" destOrd="0" presId="urn:microsoft.com/office/officeart/2005/8/layout/orgChart1"/>
    <dgm:cxn modelId="{F95C4300-DD6B-4173-B041-B735261BD5A4}" type="presParOf" srcId="{34C37452-7E1C-41AF-AA2C-ADAFC94295CE}" destId="{7B5C5EEE-1333-44CC-B381-59CE2406F8E9}" srcOrd="1" destOrd="0" presId="urn:microsoft.com/office/officeart/2005/8/layout/orgChart1"/>
    <dgm:cxn modelId="{29477878-80C7-45F3-98C1-FEB4C3D7C189}" type="presParOf" srcId="{34C37452-7E1C-41AF-AA2C-ADAFC94295CE}" destId="{A590E110-4B01-4699-9184-951B9A7A64CC}" srcOrd="2" destOrd="0" presId="urn:microsoft.com/office/officeart/2005/8/layout/orgChart1"/>
    <dgm:cxn modelId="{2D4407D2-9A33-4CED-BAA4-F9D71C4C74FC}" type="presParOf" srcId="{C74CE25E-B6C5-4AC6-A25D-D1C698E71FF3}" destId="{65A1E068-E115-4C5A-BD26-313C36DA9032}" srcOrd="2" destOrd="0" presId="urn:microsoft.com/office/officeart/2005/8/layout/orgChart1"/>
    <dgm:cxn modelId="{E2D95BB7-3F14-4557-8582-F1AE368DF8BA}" type="presParOf" srcId="{EAF3D06E-756D-4DF0-B22D-D903B12F4F84}" destId="{D63BEE42-DC79-4DD1-9248-2FA14B5038F8}" srcOrd="8" destOrd="0" presId="urn:microsoft.com/office/officeart/2005/8/layout/orgChart1"/>
    <dgm:cxn modelId="{A1F8326F-8B57-407B-8C10-22132775FB4F}" type="presParOf" srcId="{EAF3D06E-756D-4DF0-B22D-D903B12F4F84}" destId="{EFA6555E-B7EE-43DC-9B17-87441E6F97E7}" srcOrd="9" destOrd="0" presId="urn:microsoft.com/office/officeart/2005/8/layout/orgChart1"/>
    <dgm:cxn modelId="{262AE76A-48DE-4DF8-B20B-E7CDFE707E73}" type="presParOf" srcId="{EFA6555E-B7EE-43DC-9B17-87441E6F97E7}" destId="{56798B15-C5CE-40EA-B5F2-A4CD7B662442}" srcOrd="0" destOrd="0" presId="urn:microsoft.com/office/officeart/2005/8/layout/orgChart1"/>
    <dgm:cxn modelId="{72D17D66-B47A-478D-8767-1563FF687875}" type="presParOf" srcId="{56798B15-C5CE-40EA-B5F2-A4CD7B662442}" destId="{8599A985-43DE-4515-87ED-DBCF0CEFDD03}" srcOrd="0" destOrd="0" presId="urn:microsoft.com/office/officeart/2005/8/layout/orgChart1"/>
    <dgm:cxn modelId="{3A07B5DF-F3FD-4550-897F-929D560BB216}" type="presParOf" srcId="{56798B15-C5CE-40EA-B5F2-A4CD7B662442}" destId="{BF614AC0-45A0-401A-9AFD-DBB7B2862E6D}" srcOrd="1" destOrd="0" presId="urn:microsoft.com/office/officeart/2005/8/layout/orgChart1"/>
    <dgm:cxn modelId="{61F6F052-F3BF-40BD-AD2D-6EACFFC52526}" type="presParOf" srcId="{EFA6555E-B7EE-43DC-9B17-87441E6F97E7}" destId="{5826FB9C-8B01-4F1B-8B19-A494276AEAD4}" srcOrd="1" destOrd="0" presId="urn:microsoft.com/office/officeart/2005/8/layout/orgChart1"/>
    <dgm:cxn modelId="{56269800-F768-40A5-9118-547C06FE5828}" type="presParOf" srcId="{5826FB9C-8B01-4F1B-8B19-A494276AEAD4}" destId="{175388DB-0E91-4085-AE87-F2DD905F32DC}" srcOrd="0" destOrd="0" presId="urn:microsoft.com/office/officeart/2005/8/layout/orgChart1"/>
    <dgm:cxn modelId="{85BE8261-182D-4296-8872-7204707147C3}" type="presParOf" srcId="{5826FB9C-8B01-4F1B-8B19-A494276AEAD4}" destId="{0B9B6C98-C4D7-4F06-8FFB-6F77EAA63ED2}" srcOrd="1" destOrd="0" presId="urn:microsoft.com/office/officeart/2005/8/layout/orgChart1"/>
    <dgm:cxn modelId="{901348C0-C573-4B10-9676-9D0BEFDA7159}" type="presParOf" srcId="{0B9B6C98-C4D7-4F06-8FFB-6F77EAA63ED2}" destId="{A5C225FC-487F-4542-B2A6-6366EC516C53}" srcOrd="0" destOrd="0" presId="urn:microsoft.com/office/officeart/2005/8/layout/orgChart1"/>
    <dgm:cxn modelId="{DA8A5AE3-7323-4DD9-80E7-CC58B67B81E4}" type="presParOf" srcId="{A5C225FC-487F-4542-B2A6-6366EC516C53}" destId="{5D9E1259-8D18-4BAD-9864-B00D9E466AF3}" srcOrd="0" destOrd="0" presId="urn:microsoft.com/office/officeart/2005/8/layout/orgChart1"/>
    <dgm:cxn modelId="{5BC84D14-5F99-45CE-BD81-985277A03224}" type="presParOf" srcId="{A5C225FC-487F-4542-B2A6-6366EC516C53}" destId="{956B9E93-765D-4C54-91F4-713982393EEC}" srcOrd="1" destOrd="0" presId="urn:microsoft.com/office/officeart/2005/8/layout/orgChart1"/>
    <dgm:cxn modelId="{3F0FE209-C2F6-4D9E-9CD8-2EAA69E9F00E}" type="presParOf" srcId="{0B9B6C98-C4D7-4F06-8FFB-6F77EAA63ED2}" destId="{4F672556-693F-4C44-BA40-B8B64322BD7D}" srcOrd="1" destOrd="0" presId="urn:microsoft.com/office/officeart/2005/8/layout/orgChart1"/>
    <dgm:cxn modelId="{F68436AD-6436-49AA-B0A5-7C361A6C5C07}" type="presParOf" srcId="{0B9B6C98-C4D7-4F06-8FFB-6F77EAA63ED2}" destId="{5C299ABC-3FF5-43B9-873A-318DFF3EB0B8}" srcOrd="2" destOrd="0" presId="urn:microsoft.com/office/officeart/2005/8/layout/orgChart1"/>
    <dgm:cxn modelId="{08A2FD6F-829F-4ED9-B77E-FE7737C60FE1}" type="presParOf" srcId="{5826FB9C-8B01-4F1B-8B19-A494276AEAD4}" destId="{E93D9FD7-D372-4E72-B729-490B695020FC}" srcOrd="2" destOrd="0" presId="urn:microsoft.com/office/officeart/2005/8/layout/orgChart1"/>
    <dgm:cxn modelId="{2F9E5221-3A36-4B93-8914-149F23E6BB86}" type="presParOf" srcId="{5826FB9C-8B01-4F1B-8B19-A494276AEAD4}" destId="{29E54E6B-3D4E-4B7E-A2FA-30D1F9CBCEE2}" srcOrd="3" destOrd="0" presId="urn:microsoft.com/office/officeart/2005/8/layout/orgChart1"/>
    <dgm:cxn modelId="{AE6CCF6E-56D3-424A-B6F0-67AC9A13CAAB}" type="presParOf" srcId="{29E54E6B-3D4E-4B7E-A2FA-30D1F9CBCEE2}" destId="{4FEB0938-21BD-4530-A56C-A388D50EF4EF}" srcOrd="0" destOrd="0" presId="urn:microsoft.com/office/officeart/2005/8/layout/orgChart1"/>
    <dgm:cxn modelId="{8A9EF73A-DB1D-4B91-8ECF-26BB9C32A69F}" type="presParOf" srcId="{4FEB0938-21BD-4530-A56C-A388D50EF4EF}" destId="{A867A694-B0A1-4F08-81CC-145963D862E4}" srcOrd="0" destOrd="0" presId="urn:microsoft.com/office/officeart/2005/8/layout/orgChart1"/>
    <dgm:cxn modelId="{048C9B82-22BA-4F95-BDA0-02639E39D2FB}" type="presParOf" srcId="{4FEB0938-21BD-4530-A56C-A388D50EF4EF}" destId="{740A2B0A-2C7B-4042-962C-CE33E679C009}" srcOrd="1" destOrd="0" presId="urn:microsoft.com/office/officeart/2005/8/layout/orgChart1"/>
    <dgm:cxn modelId="{7A8B1E8C-45A7-4E71-A515-B057AE0428A4}" type="presParOf" srcId="{29E54E6B-3D4E-4B7E-A2FA-30D1F9CBCEE2}" destId="{918686E1-9CFF-4574-B7EE-6CEDD925C4CA}" srcOrd="1" destOrd="0" presId="urn:microsoft.com/office/officeart/2005/8/layout/orgChart1"/>
    <dgm:cxn modelId="{169263BC-78B4-4CBA-A37F-BF572E88D359}" type="presParOf" srcId="{29E54E6B-3D4E-4B7E-A2FA-30D1F9CBCEE2}" destId="{7354CFF7-138B-4A87-91A1-9D2A2924D6C3}" srcOrd="2" destOrd="0" presId="urn:microsoft.com/office/officeart/2005/8/layout/orgChart1"/>
    <dgm:cxn modelId="{13724FE8-3896-413C-8CCC-DEA8BA8E5E50}" type="presParOf" srcId="{EFA6555E-B7EE-43DC-9B17-87441E6F97E7}" destId="{733C392A-DD3B-4CAC-98E5-B700E75056BB}" srcOrd="2" destOrd="0" presId="urn:microsoft.com/office/officeart/2005/8/layout/orgChart1"/>
    <dgm:cxn modelId="{E998DCB8-C648-4AB6-9CD8-F88EF4918596}" type="presParOf" srcId="{4DD9AA72-52C1-44BF-8851-51528852EB1F}" destId="{B75201AC-6D19-486A-BCCE-59DAD29E7F53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93D9FD7-D372-4E72-B729-490B695020FC}">
      <dsp:nvSpPr>
        <dsp:cNvPr id="0" name=""/>
        <dsp:cNvSpPr/>
      </dsp:nvSpPr>
      <dsp:spPr>
        <a:xfrm>
          <a:off x="7792881" y="784349"/>
          <a:ext cx="96953" cy="7562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56234"/>
              </a:lnTo>
              <a:lnTo>
                <a:pt x="96953" y="7562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5388DB-0E91-4085-AE87-F2DD905F32DC}">
      <dsp:nvSpPr>
        <dsp:cNvPr id="0" name=""/>
        <dsp:cNvSpPr/>
      </dsp:nvSpPr>
      <dsp:spPr>
        <a:xfrm>
          <a:off x="7792881" y="784349"/>
          <a:ext cx="96953" cy="2973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7322"/>
              </a:lnTo>
              <a:lnTo>
                <a:pt x="96953" y="29732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3BEE42-DC79-4DD1-9248-2FA14B5038F8}">
      <dsp:nvSpPr>
        <dsp:cNvPr id="0" name=""/>
        <dsp:cNvSpPr/>
      </dsp:nvSpPr>
      <dsp:spPr>
        <a:xfrm>
          <a:off x="5970557" y="325437"/>
          <a:ext cx="2080865" cy="1357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867"/>
              </a:lnTo>
              <a:lnTo>
                <a:pt x="2080865" y="67867"/>
              </a:lnTo>
              <a:lnTo>
                <a:pt x="2080865" y="13573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EEF80B-D0D3-4D30-8453-1B9D01227862}">
      <dsp:nvSpPr>
        <dsp:cNvPr id="0" name=""/>
        <dsp:cNvSpPr/>
      </dsp:nvSpPr>
      <dsp:spPr>
        <a:xfrm>
          <a:off x="7010793" y="784349"/>
          <a:ext cx="96953" cy="2973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7322"/>
              </a:lnTo>
              <a:lnTo>
                <a:pt x="96953" y="29732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85D3B1-2383-49A9-8B12-CD03CD11E859}">
      <dsp:nvSpPr>
        <dsp:cNvPr id="0" name=""/>
        <dsp:cNvSpPr/>
      </dsp:nvSpPr>
      <dsp:spPr>
        <a:xfrm>
          <a:off x="5970557" y="325437"/>
          <a:ext cx="1298777" cy="1357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867"/>
              </a:lnTo>
              <a:lnTo>
                <a:pt x="1298777" y="67867"/>
              </a:lnTo>
              <a:lnTo>
                <a:pt x="1298777" y="13573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2E7ED7-C0F3-43DA-9E0D-BD696A126343}">
      <dsp:nvSpPr>
        <dsp:cNvPr id="0" name=""/>
        <dsp:cNvSpPr/>
      </dsp:nvSpPr>
      <dsp:spPr>
        <a:xfrm>
          <a:off x="6228704" y="1243260"/>
          <a:ext cx="96953" cy="21329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32968"/>
              </a:lnTo>
              <a:lnTo>
                <a:pt x="96953" y="213296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6A658E-981D-43EC-89C2-4450D2869B07}">
      <dsp:nvSpPr>
        <dsp:cNvPr id="0" name=""/>
        <dsp:cNvSpPr/>
      </dsp:nvSpPr>
      <dsp:spPr>
        <a:xfrm>
          <a:off x="6228704" y="1243260"/>
          <a:ext cx="96953" cy="16740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74057"/>
              </a:lnTo>
              <a:lnTo>
                <a:pt x="96953" y="167405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8812C7-002A-44DD-B9BE-60091A132EE0}">
      <dsp:nvSpPr>
        <dsp:cNvPr id="0" name=""/>
        <dsp:cNvSpPr/>
      </dsp:nvSpPr>
      <dsp:spPr>
        <a:xfrm>
          <a:off x="6228704" y="1243260"/>
          <a:ext cx="96953" cy="12151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15145"/>
              </a:lnTo>
              <a:lnTo>
                <a:pt x="96953" y="121514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EB9B82D-4EC7-47EF-BF11-1C4ED13CB71D}">
      <dsp:nvSpPr>
        <dsp:cNvPr id="0" name=""/>
        <dsp:cNvSpPr/>
      </dsp:nvSpPr>
      <dsp:spPr>
        <a:xfrm>
          <a:off x="6228704" y="1243260"/>
          <a:ext cx="96953" cy="7562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56234"/>
              </a:lnTo>
              <a:lnTo>
                <a:pt x="96953" y="7562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E52FFD-D7C4-4AE1-86ED-DC8CE3F9891F}">
      <dsp:nvSpPr>
        <dsp:cNvPr id="0" name=""/>
        <dsp:cNvSpPr/>
      </dsp:nvSpPr>
      <dsp:spPr>
        <a:xfrm>
          <a:off x="6228704" y="1243260"/>
          <a:ext cx="96953" cy="2973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7322"/>
              </a:lnTo>
              <a:lnTo>
                <a:pt x="96953" y="29732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027508-58A3-48B6-8366-B13ECCBBB8A9}">
      <dsp:nvSpPr>
        <dsp:cNvPr id="0" name=""/>
        <dsp:cNvSpPr/>
      </dsp:nvSpPr>
      <dsp:spPr>
        <a:xfrm>
          <a:off x="6441526" y="784349"/>
          <a:ext cx="91440" cy="1357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357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DD3410-B4AB-4752-918F-E0222A185495}">
      <dsp:nvSpPr>
        <dsp:cNvPr id="0" name=""/>
        <dsp:cNvSpPr/>
      </dsp:nvSpPr>
      <dsp:spPr>
        <a:xfrm>
          <a:off x="5970557" y="325437"/>
          <a:ext cx="516688" cy="1357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867"/>
              </a:lnTo>
              <a:lnTo>
                <a:pt x="516688" y="67867"/>
              </a:lnTo>
              <a:lnTo>
                <a:pt x="516688" y="13573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FE8154-8F1B-49CB-B109-08F72155D24C}">
      <dsp:nvSpPr>
        <dsp:cNvPr id="0" name=""/>
        <dsp:cNvSpPr/>
      </dsp:nvSpPr>
      <dsp:spPr>
        <a:xfrm>
          <a:off x="5446616" y="1243260"/>
          <a:ext cx="96959" cy="1959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5974"/>
              </a:lnTo>
              <a:lnTo>
                <a:pt x="96959" y="19597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34B4B1-458A-49CF-A480-35E9BE88E0E4}">
      <dsp:nvSpPr>
        <dsp:cNvPr id="0" name=""/>
        <dsp:cNvSpPr/>
      </dsp:nvSpPr>
      <dsp:spPr>
        <a:xfrm>
          <a:off x="5446616" y="1243260"/>
          <a:ext cx="96953" cy="35097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09702"/>
              </a:lnTo>
              <a:lnTo>
                <a:pt x="96953" y="350970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114EB2-3267-414A-9E41-AD25B3B32DF2}">
      <dsp:nvSpPr>
        <dsp:cNvPr id="0" name=""/>
        <dsp:cNvSpPr/>
      </dsp:nvSpPr>
      <dsp:spPr>
        <a:xfrm>
          <a:off x="5446616" y="1243260"/>
          <a:ext cx="97754" cy="5944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4487"/>
              </a:lnTo>
              <a:lnTo>
                <a:pt x="97754" y="59448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92EF1A-D665-4988-9731-80A484C2FD33}">
      <dsp:nvSpPr>
        <dsp:cNvPr id="0" name=""/>
        <dsp:cNvSpPr/>
      </dsp:nvSpPr>
      <dsp:spPr>
        <a:xfrm>
          <a:off x="5446616" y="1243260"/>
          <a:ext cx="104709" cy="31273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27393"/>
              </a:lnTo>
              <a:lnTo>
                <a:pt x="104709" y="312739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13674D-78FF-4012-9A72-2B58CF258B9A}">
      <dsp:nvSpPr>
        <dsp:cNvPr id="0" name=""/>
        <dsp:cNvSpPr/>
      </dsp:nvSpPr>
      <dsp:spPr>
        <a:xfrm>
          <a:off x="5446616" y="1243260"/>
          <a:ext cx="115626" cy="22824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82402"/>
              </a:lnTo>
              <a:lnTo>
                <a:pt x="115626" y="228240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89A0525-9B56-498A-9974-E194D186A96B}">
      <dsp:nvSpPr>
        <dsp:cNvPr id="0" name=""/>
        <dsp:cNvSpPr/>
      </dsp:nvSpPr>
      <dsp:spPr>
        <a:xfrm>
          <a:off x="5400896" y="1243260"/>
          <a:ext cx="91440" cy="104842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048425"/>
              </a:lnTo>
              <a:lnTo>
                <a:pt x="129603" y="104842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3CC449-35A1-472F-80F9-C24669D1EB6A}">
      <dsp:nvSpPr>
        <dsp:cNvPr id="0" name=""/>
        <dsp:cNvSpPr/>
      </dsp:nvSpPr>
      <dsp:spPr>
        <a:xfrm>
          <a:off x="5446616" y="1243260"/>
          <a:ext cx="109285" cy="189414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94140"/>
              </a:lnTo>
              <a:lnTo>
                <a:pt x="109285" y="189414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5667F87-3D0A-453D-A724-68956A12ED95}">
      <dsp:nvSpPr>
        <dsp:cNvPr id="0" name=""/>
        <dsp:cNvSpPr/>
      </dsp:nvSpPr>
      <dsp:spPr>
        <a:xfrm>
          <a:off x="5446616" y="1243260"/>
          <a:ext cx="99939" cy="1501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787"/>
              </a:lnTo>
              <a:lnTo>
                <a:pt x="99939" y="150178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2928964-300F-49A8-96F4-7D6993C2F759}">
      <dsp:nvSpPr>
        <dsp:cNvPr id="0" name=""/>
        <dsp:cNvSpPr/>
      </dsp:nvSpPr>
      <dsp:spPr>
        <a:xfrm>
          <a:off x="5446616" y="1243260"/>
          <a:ext cx="114049" cy="27150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15003"/>
              </a:lnTo>
              <a:lnTo>
                <a:pt x="114049" y="271500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CBA0914-AD34-4D28-B54E-18DB06E34347}">
      <dsp:nvSpPr>
        <dsp:cNvPr id="0" name=""/>
        <dsp:cNvSpPr/>
      </dsp:nvSpPr>
      <dsp:spPr>
        <a:xfrm>
          <a:off x="5269263" y="784349"/>
          <a:ext cx="435894" cy="1357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867"/>
              </a:lnTo>
              <a:lnTo>
                <a:pt x="435894" y="67867"/>
              </a:lnTo>
              <a:lnTo>
                <a:pt x="435894" y="1357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B6A954-26FA-4D5A-B36E-8CD2D1D6B078}">
      <dsp:nvSpPr>
        <dsp:cNvPr id="0" name=""/>
        <dsp:cNvSpPr/>
      </dsp:nvSpPr>
      <dsp:spPr>
        <a:xfrm>
          <a:off x="4583796" y="1243260"/>
          <a:ext cx="110408" cy="7562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56234"/>
              </a:lnTo>
              <a:lnTo>
                <a:pt x="110408" y="7562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E24523D-C346-4086-A1E2-18FE6C986449}">
      <dsp:nvSpPr>
        <dsp:cNvPr id="0" name=""/>
        <dsp:cNvSpPr/>
      </dsp:nvSpPr>
      <dsp:spPr>
        <a:xfrm>
          <a:off x="4583796" y="1243260"/>
          <a:ext cx="110408" cy="2973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7322"/>
              </a:lnTo>
              <a:lnTo>
                <a:pt x="110408" y="29732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3EDA7F-C41F-4EB5-BDA7-2CF3C72CDF8C}">
      <dsp:nvSpPr>
        <dsp:cNvPr id="0" name=""/>
        <dsp:cNvSpPr/>
      </dsp:nvSpPr>
      <dsp:spPr>
        <a:xfrm>
          <a:off x="4878218" y="784349"/>
          <a:ext cx="391044" cy="135734"/>
        </a:xfrm>
        <a:custGeom>
          <a:avLst/>
          <a:gdLst/>
          <a:ahLst/>
          <a:cxnLst/>
          <a:rect l="0" t="0" r="0" b="0"/>
          <a:pathLst>
            <a:path>
              <a:moveTo>
                <a:pt x="391044" y="0"/>
              </a:moveTo>
              <a:lnTo>
                <a:pt x="391044" y="67867"/>
              </a:lnTo>
              <a:lnTo>
                <a:pt x="0" y="67867"/>
              </a:lnTo>
              <a:lnTo>
                <a:pt x="0" y="1357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8F2A8F-9915-4223-94DB-6A85F94B0272}">
      <dsp:nvSpPr>
        <dsp:cNvPr id="0" name=""/>
        <dsp:cNvSpPr/>
      </dsp:nvSpPr>
      <dsp:spPr>
        <a:xfrm>
          <a:off x="5269263" y="325437"/>
          <a:ext cx="701294" cy="135734"/>
        </a:xfrm>
        <a:custGeom>
          <a:avLst/>
          <a:gdLst/>
          <a:ahLst/>
          <a:cxnLst/>
          <a:rect l="0" t="0" r="0" b="0"/>
          <a:pathLst>
            <a:path>
              <a:moveTo>
                <a:pt x="701294" y="0"/>
              </a:moveTo>
              <a:lnTo>
                <a:pt x="701294" y="67867"/>
              </a:lnTo>
              <a:lnTo>
                <a:pt x="0" y="67867"/>
              </a:lnTo>
              <a:lnTo>
                <a:pt x="0" y="13573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8D5FFB-A1E9-414A-ABB9-55FD3DF3C3FF}">
      <dsp:nvSpPr>
        <dsp:cNvPr id="0" name=""/>
        <dsp:cNvSpPr/>
      </dsp:nvSpPr>
      <dsp:spPr>
        <a:xfrm>
          <a:off x="3631149" y="784349"/>
          <a:ext cx="96953" cy="2973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7322"/>
              </a:lnTo>
              <a:lnTo>
                <a:pt x="96953" y="29732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4CB7DF9-5CB6-4F69-AC7C-0542E6DB0BD6}">
      <dsp:nvSpPr>
        <dsp:cNvPr id="0" name=""/>
        <dsp:cNvSpPr/>
      </dsp:nvSpPr>
      <dsp:spPr>
        <a:xfrm>
          <a:off x="3889691" y="325437"/>
          <a:ext cx="2080865" cy="135734"/>
        </a:xfrm>
        <a:custGeom>
          <a:avLst/>
          <a:gdLst/>
          <a:ahLst/>
          <a:cxnLst/>
          <a:rect l="0" t="0" r="0" b="0"/>
          <a:pathLst>
            <a:path>
              <a:moveTo>
                <a:pt x="2080865" y="0"/>
              </a:moveTo>
              <a:lnTo>
                <a:pt x="2080865" y="67867"/>
              </a:lnTo>
              <a:lnTo>
                <a:pt x="0" y="67867"/>
              </a:lnTo>
              <a:lnTo>
                <a:pt x="0" y="135734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E1F548-C04B-4667-9BA0-6F6E67170096}">
      <dsp:nvSpPr>
        <dsp:cNvPr id="0" name=""/>
        <dsp:cNvSpPr/>
      </dsp:nvSpPr>
      <dsp:spPr>
        <a:xfrm>
          <a:off x="5647380" y="2260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Vertex Londrina 360</a:t>
          </a:r>
        </a:p>
      </dsp:txBody>
      <dsp:txXfrm>
        <a:off x="5647380" y="2260"/>
        <a:ext cx="646354" cy="323177"/>
      </dsp:txXfrm>
    </dsp:sp>
    <dsp:sp modelId="{F9889314-73E8-4FA4-8BAC-84947BF867B6}">
      <dsp:nvSpPr>
        <dsp:cNvPr id="0" name=""/>
        <dsp:cNvSpPr/>
      </dsp:nvSpPr>
      <dsp:spPr>
        <a:xfrm>
          <a:off x="3566514" y="461172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Iniciação</a:t>
          </a:r>
        </a:p>
      </dsp:txBody>
      <dsp:txXfrm>
        <a:off x="3566514" y="461172"/>
        <a:ext cx="646354" cy="323177"/>
      </dsp:txXfrm>
    </dsp:sp>
    <dsp:sp modelId="{7566DFF6-0FC0-4F67-B7DF-4B6235A25B12}">
      <dsp:nvSpPr>
        <dsp:cNvPr id="0" name=""/>
        <dsp:cNvSpPr/>
      </dsp:nvSpPr>
      <dsp:spPr>
        <a:xfrm>
          <a:off x="3728102" y="920083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Identificação dos Stakeholdes</a:t>
          </a:r>
        </a:p>
      </dsp:txBody>
      <dsp:txXfrm>
        <a:off x="3728102" y="920083"/>
        <a:ext cx="646354" cy="323177"/>
      </dsp:txXfrm>
    </dsp:sp>
    <dsp:sp modelId="{C2113E5F-4670-47EC-A5EA-084299B57EAB}">
      <dsp:nvSpPr>
        <dsp:cNvPr id="0" name=""/>
        <dsp:cNvSpPr/>
      </dsp:nvSpPr>
      <dsp:spPr>
        <a:xfrm>
          <a:off x="4946086" y="461172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Planejamento</a:t>
          </a:r>
        </a:p>
      </dsp:txBody>
      <dsp:txXfrm>
        <a:off x="4946086" y="461172"/>
        <a:ext cx="646354" cy="323177"/>
      </dsp:txXfrm>
    </dsp:sp>
    <dsp:sp modelId="{8895EAD4-1A2B-4066-90EE-3577F268900A}">
      <dsp:nvSpPr>
        <dsp:cNvPr id="0" name=""/>
        <dsp:cNvSpPr/>
      </dsp:nvSpPr>
      <dsp:spPr>
        <a:xfrm>
          <a:off x="4510191" y="920083"/>
          <a:ext cx="736055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Documentação Inicial</a:t>
          </a:r>
        </a:p>
      </dsp:txBody>
      <dsp:txXfrm>
        <a:off x="4510191" y="920083"/>
        <a:ext cx="736055" cy="323177"/>
      </dsp:txXfrm>
    </dsp:sp>
    <dsp:sp modelId="{64019EAF-FAD8-4183-88E0-C6F77A25113C}">
      <dsp:nvSpPr>
        <dsp:cNvPr id="0" name=""/>
        <dsp:cNvSpPr/>
      </dsp:nvSpPr>
      <dsp:spPr>
        <a:xfrm>
          <a:off x="4694205" y="1378995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Declaração de Escopo</a:t>
          </a:r>
        </a:p>
      </dsp:txBody>
      <dsp:txXfrm>
        <a:off x="4694205" y="1378995"/>
        <a:ext cx="646354" cy="323177"/>
      </dsp:txXfrm>
    </dsp:sp>
    <dsp:sp modelId="{06BDDADF-3E5C-4DD2-983D-DDB75938912C}">
      <dsp:nvSpPr>
        <dsp:cNvPr id="0" name=""/>
        <dsp:cNvSpPr/>
      </dsp:nvSpPr>
      <dsp:spPr>
        <a:xfrm>
          <a:off x="4694205" y="1837906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Cronograma</a:t>
          </a:r>
        </a:p>
      </dsp:txBody>
      <dsp:txXfrm>
        <a:off x="4694205" y="1837906"/>
        <a:ext cx="646354" cy="323177"/>
      </dsp:txXfrm>
    </dsp:sp>
    <dsp:sp modelId="{9D4ED0E6-C383-4B09-897A-F3AD0CEF5528}">
      <dsp:nvSpPr>
        <dsp:cNvPr id="0" name=""/>
        <dsp:cNvSpPr/>
      </dsp:nvSpPr>
      <dsp:spPr>
        <a:xfrm>
          <a:off x="5381980" y="920083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Planos de Gerenciamento</a:t>
          </a:r>
        </a:p>
      </dsp:txBody>
      <dsp:txXfrm>
        <a:off x="5381980" y="920083"/>
        <a:ext cx="646354" cy="323177"/>
      </dsp:txXfrm>
    </dsp:sp>
    <dsp:sp modelId="{37134096-CEFA-4402-B379-C62253F363C6}">
      <dsp:nvSpPr>
        <dsp:cNvPr id="0" name=""/>
        <dsp:cNvSpPr/>
      </dsp:nvSpPr>
      <dsp:spPr>
        <a:xfrm>
          <a:off x="5560665" y="3796675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Qualidade</a:t>
          </a:r>
        </a:p>
      </dsp:txBody>
      <dsp:txXfrm>
        <a:off x="5560665" y="3796675"/>
        <a:ext cx="646354" cy="323177"/>
      </dsp:txXfrm>
    </dsp:sp>
    <dsp:sp modelId="{40EE3F0E-7F4C-4EC8-A633-9BC7979E4608}">
      <dsp:nvSpPr>
        <dsp:cNvPr id="0" name=""/>
        <dsp:cNvSpPr/>
      </dsp:nvSpPr>
      <dsp:spPr>
        <a:xfrm>
          <a:off x="5546555" y="2583459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Custo</a:t>
          </a:r>
        </a:p>
      </dsp:txBody>
      <dsp:txXfrm>
        <a:off x="5546555" y="2583459"/>
        <a:ext cx="646354" cy="323177"/>
      </dsp:txXfrm>
    </dsp:sp>
    <dsp:sp modelId="{18912215-AD19-4582-82E0-ECF19D0D6931}">
      <dsp:nvSpPr>
        <dsp:cNvPr id="0" name=""/>
        <dsp:cNvSpPr/>
      </dsp:nvSpPr>
      <dsp:spPr>
        <a:xfrm>
          <a:off x="5555901" y="2975812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Aquisições</a:t>
          </a:r>
        </a:p>
      </dsp:txBody>
      <dsp:txXfrm>
        <a:off x="5555901" y="2975812"/>
        <a:ext cx="646354" cy="323177"/>
      </dsp:txXfrm>
    </dsp:sp>
    <dsp:sp modelId="{615F7F4C-3611-4433-8308-EAA63BB3953F}">
      <dsp:nvSpPr>
        <dsp:cNvPr id="0" name=""/>
        <dsp:cNvSpPr/>
      </dsp:nvSpPr>
      <dsp:spPr>
        <a:xfrm>
          <a:off x="5530499" y="2130097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Recursos Humanos</a:t>
          </a:r>
        </a:p>
      </dsp:txBody>
      <dsp:txXfrm>
        <a:off x="5530499" y="2130097"/>
        <a:ext cx="646354" cy="323177"/>
      </dsp:txXfrm>
    </dsp:sp>
    <dsp:sp modelId="{889650AB-9127-477E-B314-91B01F4BE892}">
      <dsp:nvSpPr>
        <dsp:cNvPr id="0" name=""/>
        <dsp:cNvSpPr/>
      </dsp:nvSpPr>
      <dsp:spPr>
        <a:xfrm>
          <a:off x="5562242" y="3364074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Risco</a:t>
          </a:r>
        </a:p>
      </dsp:txBody>
      <dsp:txXfrm>
        <a:off x="5562242" y="3364074"/>
        <a:ext cx="646354" cy="323177"/>
      </dsp:txXfrm>
    </dsp:sp>
    <dsp:sp modelId="{79395CC9-51A5-4282-A953-C8D273979951}">
      <dsp:nvSpPr>
        <dsp:cNvPr id="0" name=""/>
        <dsp:cNvSpPr/>
      </dsp:nvSpPr>
      <dsp:spPr>
        <a:xfrm>
          <a:off x="5551325" y="4209066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Comunicação</a:t>
          </a:r>
        </a:p>
      </dsp:txBody>
      <dsp:txXfrm>
        <a:off x="5551325" y="4209066"/>
        <a:ext cx="646354" cy="323177"/>
      </dsp:txXfrm>
    </dsp:sp>
    <dsp:sp modelId="{F7BD9E72-0E29-4167-BB17-890B826CCAA4}">
      <dsp:nvSpPr>
        <dsp:cNvPr id="0" name=""/>
        <dsp:cNvSpPr/>
      </dsp:nvSpPr>
      <dsp:spPr>
        <a:xfrm>
          <a:off x="5544370" y="1676159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Stakeholders </a:t>
          </a:r>
        </a:p>
      </dsp:txBody>
      <dsp:txXfrm>
        <a:off x="5544370" y="1676159"/>
        <a:ext cx="646354" cy="323177"/>
      </dsp:txXfrm>
    </dsp:sp>
    <dsp:sp modelId="{F3946B89-6477-4600-AAF6-F2CB22E0AC94}">
      <dsp:nvSpPr>
        <dsp:cNvPr id="0" name=""/>
        <dsp:cNvSpPr/>
      </dsp:nvSpPr>
      <dsp:spPr>
        <a:xfrm>
          <a:off x="5543569" y="4591374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Execução</a:t>
          </a:r>
        </a:p>
      </dsp:txBody>
      <dsp:txXfrm>
        <a:off x="5543569" y="4591374"/>
        <a:ext cx="646354" cy="323177"/>
      </dsp:txXfrm>
    </dsp:sp>
    <dsp:sp modelId="{D0C4C535-8F8B-434C-97BB-3E1F632C3A96}">
      <dsp:nvSpPr>
        <dsp:cNvPr id="0" name=""/>
        <dsp:cNvSpPr/>
      </dsp:nvSpPr>
      <dsp:spPr>
        <a:xfrm>
          <a:off x="5543575" y="1277646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Matriz de responsabilidades</a:t>
          </a:r>
        </a:p>
      </dsp:txBody>
      <dsp:txXfrm>
        <a:off x="5543575" y="1277646"/>
        <a:ext cx="646354" cy="323177"/>
      </dsp:txXfrm>
    </dsp:sp>
    <dsp:sp modelId="{02417033-4F70-4833-BF9B-BE5C3C63BC58}">
      <dsp:nvSpPr>
        <dsp:cNvPr id="0" name=""/>
        <dsp:cNvSpPr/>
      </dsp:nvSpPr>
      <dsp:spPr>
        <a:xfrm>
          <a:off x="6164069" y="461172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Execução</a:t>
          </a:r>
        </a:p>
      </dsp:txBody>
      <dsp:txXfrm>
        <a:off x="6164069" y="461172"/>
        <a:ext cx="646354" cy="323177"/>
      </dsp:txXfrm>
    </dsp:sp>
    <dsp:sp modelId="{CBDC2364-FA9C-478D-88EC-BCDD821A9313}">
      <dsp:nvSpPr>
        <dsp:cNvPr id="0" name=""/>
        <dsp:cNvSpPr/>
      </dsp:nvSpPr>
      <dsp:spPr>
        <a:xfrm>
          <a:off x="6164069" y="920083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Montagem</a:t>
          </a:r>
        </a:p>
      </dsp:txBody>
      <dsp:txXfrm>
        <a:off x="6164069" y="920083"/>
        <a:ext cx="646354" cy="323177"/>
      </dsp:txXfrm>
    </dsp:sp>
    <dsp:sp modelId="{06ECBB3A-A4A2-4E90-9605-3E4CE2C464D7}">
      <dsp:nvSpPr>
        <dsp:cNvPr id="0" name=""/>
        <dsp:cNvSpPr/>
      </dsp:nvSpPr>
      <dsp:spPr>
        <a:xfrm>
          <a:off x="6325657" y="1378995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Base 1</a:t>
          </a:r>
        </a:p>
      </dsp:txBody>
      <dsp:txXfrm>
        <a:off x="6325657" y="1378995"/>
        <a:ext cx="646354" cy="323177"/>
      </dsp:txXfrm>
    </dsp:sp>
    <dsp:sp modelId="{7CFEB5C5-DB95-4C1C-BB46-9BCE3FCC08A9}">
      <dsp:nvSpPr>
        <dsp:cNvPr id="0" name=""/>
        <dsp:cNvSpPr/>
      </dsp:nvSpPr>
      <dsp:spPr>
        <a:xfrm>
          <a:off x="6325657" y="1837906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Base 2 </a:t>
          </a:r>
        </a:p>
      </dsp:txBody>
      <dsp:txXfrm>
        <a:off x="6325657" y="1837906"/>
        <a:ext cx="646354" cy="323177"/>
      </dsp:txXfrm>
    </dsp:sp>
    <dsp:sp modelId="{2CA39FCB-1F29-4383-9FF6-3FC9F1864DDA}">
      <dsp:nvSpPr>
        <dsp:cNvPr id="0" name=""/>
        <dsp:cNvSpPr/>
      </dsp:nvSpPr>
      <dsp:spPr>
        <a:xfrm>
          <a:off x="6325657" y="2296817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Conexão dos módulos 1 e 2</a:t>
          </a:r>
        </a:p>
      </dsp:txBody>
      <dsp:txXfrm>
        <a:off x="6325657" y="2296817"/>
        <a:ext cx="646354" cy="323177"/>
      </dsp:txXfrm>
    </dsp:sp>
    <dsp:sp modelId="{78D88209-ABE9-46F7-955D-6121E7F0D3E3}">
      <dsp:nvSpPr>
        <dsp:cNvPr id="0" name=""/>
        <dsp:cNvSpPr/>
      </dsp:nvSpPr>
      <dsp:spPr>
        <a:xfrm>
          <a:off x="6325657" y="2755729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Base 3 </a:t>
          </a:r>
        </a:p>
      </dsp:txBody>
      <dsp:txXfrm>
        <a:off x="6325657" y="2755729"/>
        <a:ext cx="646354" cy="323177"/>
      </dsp:txXfrm>
    </dsp:sp>
    <dsp:sp modelId="{5750D2DB-7BD0-4C88-9D71-601C9F4013F0}">
      <dsp:nvSpPr>
        <dsp:cNvPr id="0" name=""/>
        <dsp:cNvSpPr/>
      </dsp:nvSpPr>
      <dsp:spPr>
        <a:xfrm>
          <a:off x="6325657" y="3214640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Conexão módulo 3</a:t>
          </a:r>
        </a:p>
      </dsp:txBody>
      <dsp:txXfrm>
        <a:off x="6325657" y="3214640"/>
        <a:ext cx="646354" cy="323177"/>
      </dsp:txXfrm>
    </dsp:sp>
    <dsp:sp modelId="{4A6662A2-1504-40CD-AF64-F5F57F951942}">
      <dsp:nvSpPr>
        <dsp:cNvPr id="0" name=""/>
        <dsp:cNvSpPr/>
      </dsp:nvSpPr>
      <dsp:spPr>
        <a:xfrm>
          <a:off x="6946157" y="461172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Controle</a:t>
          </a:r>
        </a:p>
      </dsp:txBody>
      <dsp:txXfrm>
        <a:off x="6946157" y="461172"/>
        <a:ext cx="646354" cy="323177"/>
      </dsp:txXfrm>
    </dsp:sp>
    <dsp:sp modelId="{A522D678-6637-4220-9424-9A76DF65585E}">
      <dsp:nvSpPr>
        <dsp:cNvPr id="0" name=""/>
        <dsp:cNvSpPr/>
      </dsp:nvSpPr>
      <dsp:spPr>
        <a:xfrm>
          <a:off x="7107746" y="920083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Aplicação checklist QA</a:t>
          </a:r>
        </a:p>
      </dsp:txBody>
      <dsp:txXfrm>
        <a:off x="7107746" y="920083"/>
        <a:ext cx="646354" cy="323177"/>
      </dsp:txXfrm>
    </dsp:sp>
    <dsp:sp modelId="{8599A985-43DE-4515-87ED-DBCF0CEFDD03}">
      <dsp:nvSpPr>
        <dsp:cNvPr id="0" name=""/>
        <dsp:cNvSpPr/>
      </dsp:nvSpPr>
      <dsp:spPr>
        <a:xfrm>
          <a:off x="7728246" y="461172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Encerramento</a:t>
          </a:r>
        </a:p>
      </dsp:txBody>
      <dsp:txXfrm>
        <a:off x="7728246" y="461172"/>
        <a:ext cx="646354" cy="323177"/>
      </dsp:txXfrm>
    </dsp:sp>
    <dsp:sp modelId="{5D9E1259-8D18-4BAD-9864-B00D9E466AF3}">
      <dsp:nvSpPr>
        <dsp:cNvPr id="0" name=""/>
        <dsp:cNvSpPr/>
      </dsp:nvSpPr>
      <dsp:spPr>
        <a:xfrm>
          <a:off x="7889834" y="920083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Lições Aprendidas</a:t>
          </a:r>
        </a:p>
      </dsp:txBody>
      <dsp:txXfrm>
        <a:off x="7889834" y="920083"/>
        <a:ext cx="646354" cy="323177"/>
      </dsp:txXfrm>
    </dsp:sp>
    <dsp:sp modelId="{A867A694-B0A1-4F08-81CC-145963D862E4}">
      <dsp:nvSpPr>
        <dsp:cNvPr id="0" name=""/>
        <dsp:cNvSpPr/>
      </dsp:nvSpPr>
      <dsp:spPr>
        <a:xfrm>
          <a:off x="7889834" y="1378995"/>
          <a:ext cx="646354" cy="32317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Termo de Encerramento</a:t>
          </a:r>
          <a:endParaRPr lang="pt-BR" sz="600" kern="1200"/>
        </a:p>
      </dsp:txBody>
      <dsp:txXfrm>
        <a:off x="7889834" y="1378995"/>
        <a:ext cx="646354" cy="32317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520303</xdr:colOff>
      <xdr:row>34</xdr:row>
      <xdr:rowOff>136974</xdr:rowOff>
    </xdr:to>
    <xdr:graphicFrame macro="">
      <xdr:nvGraphicFramePr>
        <xdr:cNvPr id="94" name="Diagrama 1">
          <a:extLst>
            <a:ext uri="{FF2B5EF4-FFF2-40B4-BE49-F238E27FC236}">
              <a16:creationId xmlns:a16="http://schemas.microsoft.com/office/drawing/2014/main" id="{6B531438-0DA5-2085-54D2-A80286B45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118</xdr:row>
      <xdr:rowOff>0</xdr:rowOff>
    </xdr:from>
    <xdr:to>
      <xdr:col>10</xdr:col>
      <xdr:colOff>571500</xdr:colOff>
      <xdr:row>118</xdr:row>
      <xdr:rowOff>0</xdr:rowOff>
    </xdr:to>
    <xdr:sp macro="" textlink="">
      <xdr:nvSpPr>
        <xdr:cNvPr id="20539" name="Line 109">
          <a:extLst>
            <a:ext uri="{FF2B5EF4-FFF2-40B4-BE49-F238E27FC236}">
              <a16:creationId xmlns:a16="http://schemas.microsoft.com/office/drawing/2014/main" id="{DD54884B-2BA6-1F2A-DD99-E2AB4BCCE48D}"/>
            </a:ext>
          </a:extLst>
        </xdr:cNvPr>
        <xdr:cNvSpPr>
          <a:spLocks noChangeShapeType="1"/>
        </xdr:cNvSpPr>
      </xdr:nvSpPr>
      <xdr:spPr bwMode="auto">
        <a:xfrm>
          <a:off x="5743575" y="1980247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571500</xdr:colOff>
      <xdr:row>118</xdr:row>
      <xdr:rowOff>0</xdr:rowOff>
    </xdr:from>
    <xdr:to>
      <xdr:col>10</xdr:col>
      <xdr:colOff>571500</xdr:colOff>
      <xdr:row>118</xdr:row>
      <xdr:rowOff>0</xdr:rowOff>
    </xdr:to>
    <xdr:sp macro="" textlink="">
      <xdr:nvSpPr>
        <xdr:cNvPr id="20540" name="Line 112">
          <a:extLst>
            <a:ext uri="{FF2B5EF4-FFF2-40B4-BE49-F238E27FC236}">
              <a16:creationId xmlns:a16="http://schemas.microsoft.com/office/drawing/2014/main" id="{EA5C14B1-1E6C-34FD-E65D-D87E99A3EB60}"/>
            </a:ext>
          </a:extLst>
        </xdr:cNvPr>
        <xdr:cNvSpPr>
          <a:spLocks noChangeShapeType="1"/>
        </xdr:cNvSpPr>
      </xdr:nvSpPr>
      <xdr:spPr bwMode="auto">
        <a:xfrm>
          <a:off x="5743575" y="1980247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19050</xdr:colOff>
      <xdr:row>118</xdr:row>
      <xdr:rowOff>0</xdr:rowOff>
    </xdr:from>
    <xdr:to>
      <xdr:col>10</xdr:col>
      <xdr:colOff>19050</xdr:colOff>
      <xdr:row>118</xdr:row>
      <xdr:rowOff>0</xdr:rowOff>
    </xdr:to>
    <xdr:sp macro="" textlink="">
      <xdr:nvSpPr>
        <xdr:cNvPr id="20541" name="Line 115">
          <a:extLst>
            <a:ext uri="{FF2B5EF4-FFF2-40B4-BE49-F238E27FC236}">
              <a16:creationId xmlns:a16="http://schemas.microsoft.com/office/drawing/2014/main" id="{47D54297-0D5E-43C9-25EE-0AC20E3346FE}"/>
            </a:ext>
          </a:extLst>
        </xdr:cNvPr>
        <xdr:cNvSpPr>
          <a:spLocks noChangeShapeType="1"/>
        </xdr:cNvSpPr>
      </xdr:nvSpPr>
      <xdr:spPr bwMode="auto">
        <a:xfrm flipH="1">
          <a:off x="5191125" y="1980247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19050</xdr:colOff>
      <xdr:row>118</xdr:row>
      <xdr:rowOff>0</xdr:rowOff>
    </xdr:from>
    <xdr:to>
      <xdr:col>10</xdr:col>
      <xdr:colOff>19050</xdr:colOff>
      <xdr:row>118</xdr:row>
      <xdr:rowOff>0</xdr:rowOff>
    </xdr:to>
    <xdr:sp macro="" textlink="">
      <xdr:nvSpPr>
        <xdr:cNvPr id="20542" name="Line 119">
          <a:extLst>
            <a:ext uri="{FF2B5EF4-FFF2-40B4-BE49-F238E27FC236}">
              <a16:creationId xmlns:a16="http://schemas.microsoft.com/office/drawing/2014/main" id="{3D5FB3F2-F697-9E71-F1D0-C9F43F0A72B2}"/>
            </a:ext>
          </a:extLst>
        </xdr:cNvPr>
        <xdr:cNvSpPr>
          <a:spLocks noChangeShapeType="1"/>
        </xdr:cNvSpPr>
      </xdr:nvSpPr>
      <xdr:spPr bwMode="auto">
        <a:xfrm>
          <a:off x="5191125" y="1980247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480060</xdr:colOff>
      <xdr:row>85</xdr:row>
      <xdr:rowOff>114300</xdr:rowOff>
    </xdr:from>
    <xdr:to>
      <xdr:col>10</xdr:col>
      <xdr:colOff>76285</xdr:colOff>
      <xdr:row>89</xdr:row>
      <xdr:rowOff>104726</xdr:rowOff>
    </xdr:to>
    <xdr:sp macro="" textlink="" fLocksText="0">
      <xdr:nvSpPr>
        <xdr:cNvPr id="48" name="Rectangle 128">
          <a:extLst>
            <a:ext uri="{FF2B5EF4-FFF2-40B4-BE49-F238E27FC236}">
              <a16:creationId xmlns:a16="http://schemas.microsoft.com/office/drawing/2014/main" id="{4D6C5A17-C6D1-C493-0728-C90CC7C4020F}"/>
            </a:ext>
          </a:extLst>
        </xdr:cNvPr>
        <xdr:cNvSpPr>
          <a:spLocks noChangeArrowheads="1"/>
        </xdr:cNvSpPr>
      </xdr:nvSpPr>
      <xdr:spPr bwMode="auto">
        <a:xfrm>
          <a:off x="4019550" y="14630400"/>
          <a:ext cx="1190625" cy="628650"/>
        </a:xfrm>
        <a:prstGeom prst="rect">
          <a:avLst/>
        </a:prstGeom>
        <a:solidFill>
          <a:srgbClr val="FFFF99"/>
        </a:solidFill>
        <a:ln w="38160">
          <a:solidFill>
            <a:srgbClr val="00008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Gerente de Projeto</a:t>
          </a: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Fernanda</a:t>
          </a:r>
        </a:p>
        <a:p>
          <a:pPr algn="ctr" rtl="0"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295275</xdr:colOff>
      <xdr:row>93</xdr:row>
      <xdr:rowOff>9525</xdr:rowOff>
    </xdr:from>
    <xdr:to>
      <xdr:col>5</xdr:col>
      <xdr:colOff>323850</xdr:colOff>
      <xdr:row>93</xdr:row>
      <xdr:rowOff>9525</xdr:rowOff>
    </xdr:to>
    <xdr:sp macro="" textlink="">
      <xdr:nvSpPr>
        <xdr:cNvPr id="20544" name="Line 147">
          <a:extLst>
            <a:ext uri="{FF2B5EF4-FFF2-40B4-BE49-F238E27FC236}">
              <a16:creationId xmlns:a16="http://schemas.microsoft.com/office/drawing/2014/main" id="{2C1E3A9D-712C-29CD-82ED-85BD379E93C2}"/>
            </a:ext>
          </a:extLst>
        </xdr:cNvPr>
        <xdr:cNvSpPr>
          <a:spLocks noChangeShapeType="1"/>
        </xdr:cNvSpPr>
      </xdr:nvSpPr>
      <xdr:spPr bwMode="auto">
        <a:xfrm flipV="1">
          <a:off x="914400" y="15763875"/>
          <a:ext cx="22479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340995</xdr:colOff>
      <xdr:row>94</xdr:row>
      <xdr:rowOff>38100</xdr:rowOff>
    </xdr:from>
    <xdr:to>
      <xdr:col>2</xdr:col>
      <xdr:colOff>737155</xdr:colOff>
      <xdr:row>97</xdr:row>
      <xdr:rowOff>85892</xdr:rowOff>
    </xdr:to>
    <xdr:sp macro="" textlink="" fLocksText="0">
      <xdr:nvSpPr>
        <xdr:cNvPr id="56" name="Rectangle 148">
          <a:extLst>
            <a:ext uri="{FF2B5EF4-FFF2-40B4-BE49-F238E27FC236}">
              <a16:creationId xmlns:a16="http://schemas.microsoft.com/office/drawing/2014/main" id="{78B5E118-E224-9DA3-B718-4162EB2C83BA}"/>
            </a:ext>
          </a:extLst>
        </xdr:cNvPr>
        <xdr:cNvSpPr>
          <a:spLocks noChangeArrowheads="1"/>
        </xdr:cNvSpPr>
      </xdr:nvSpPr>
      <xdr:spPr bwMode="auto">
        <a:xfrm>
          <a:off x="342900" y="16002000"/>
          <a:ext cx="990600" cy="542925"/>
        </a:xfrm>
        <a:prstGeom prst="rect">
          <a:avLst/>
        </a:prstGeom>
        <a:solidFill>
          <a:srgbClr val="FFFF99"/>
        </a:solidFill>
        <a:ln w="38160">
          <a:solidFill>
            <a:srgbClr val="00008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Responsável pela qualidade</a:t>
          </a:r>
        </a:p>
        <a:p>
          <a:pPr algn="ctr" rtl="0"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Fernanda</a:t>
          </a:r>
        </a:p>
      </xdr:txBody>
    </xdr:sp>
    <xdr:clientData/>
  </xdr:twoCellAnchor>
  <xdr:twoCellAnchor>
    <xdr:from>
      <xdr:col>7</xdr:col>
      <xdr:colOff>447675</xdr:colOff>
      <xdr:row>89</xdr:row>
      <xdr:rowOff>104775</xdr:rowOff>
    </xdr:from>
    <xdr:to>
      <xdr:col>7</xdr:col>
      <xdr:colOff>447675</xdr:colOff>
      <xdr:row>93</xdr:row>
      <xdr:rowOff>0</xdr:rowOff>
    </xdr:to>
    <xdr:sp macro="" textlink="">
      <xdr:nvSpPr>
        <xdr:cNvPr id="20546" name="Line 131">
          <a:extLst>
            <a:ext uri="{FF2B5EF4-FFF2-40B4-BE49-F238E27FC236}">
              <a16:creationId xmlns:a16="http://schemas.microsoft.com/office/drawing/2014/main" id="{9C3E9688-C5C6-3281-D78B-7E0E9215303F}"/>
            </a:ext>
          </a:extLst>
        </xdr:cNvPr>
        <xdr:cNvSpPr>
          <a:spLocks noChangeShapeType="1"/>
        </xdr:cNvSpPr>
      </xdr:nvSpPr>
      <xdr:spPr bwMode="auto">
        <a:xfrm>
          <a:off x="4648200" y="15211425"/>
          <a:ext cx="0" cy="5429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476250</xdr:colOff>
      <xdr:row>93</xdr:row>
      <xdr:rowOff>0</xdr:rowOff>
    </xdr:from>
    <xdr:to>
      <xdr:col>3</xdr:col>
      <xdr:colOff>476250</xdr:colOff>
      <xdr:row>94</xdr:row>
      <xdr:rowOff>9525</xdr:rowOff>
    </xdr:to>
    <xdr:sp macro="" textlink="">
      <xdr:nvSpPr>
        <xdr:cNvPr id="20547" name="Line 133">
          <a:extLst>
            <a:ext uri="{FF2B5EF4-FFF2-40B4-BE49-F238E27FC236}">
              <a16:creationId xmlns:a16="http://schemas.microsoft.com/office/drawing/2014/main" id="{94DCA7CB-DDBE-A2F2-FDD4-D5B90D8F1CD5}"/>
            </a:ext>
          </a:extLst>
        </xdr:cNvPr>
        <xdr:cNvSpPr>
          <a:spLocks noChangeShapeType="1"/>
        </xdr:cNvSpPr>
      </xdr:nvSpPr>
      <xdr:spPr bwMode="auto">
        <a:xfrm flipH="1" flipV="1">
          <a:off x="2171700" y="15754350"/>
          <a:ext cx="0" cy="1714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1200150</xdr:colOff>
      <xdr:row>93</xdr:row>
      <xdr:rowOff>0</xdr:rowOff>
    </xdr:from>
    <xdr:to>
      <xdr:col>10</xdr:col>
      <xdr:colOff>1200150</xdr:colOff>
      <xdr:row>94</xdr:row>
      <xdr:rowOff>9525</xdr:rowOff>
    </xdr:to>
    <xdr:sp macro="" textlink="">
      <xdr:nvSpPr>
        <xdr:cNvPr id="20548" name="Line 134">
          <a:extLst>
            <a:ext uri="{FF2B5EF4-FFF2-40B4-BE49-F238E27FC236}">
              <a16:creationId xmlns:a16="http://schemas.microsoft.com/office/drawing/2014/main" id="{C17B0704-6442-B0D4-6D2B-81399A112EE2}"/>
            </a:ext>
          </a:extLst>
        </xdr:cNvPr>
        <xdr:cNvSpPr>
          <a:spLocks noChangeShapeType="1"/>
        </xdr:cNvSpPr>
      </xdr:nvSpPr>
      <xdr:spPr bwMode="auto">
        <a:xfrm flipV="1">
          <a:off x="6372225" y="15754350"/>
          <a:ext cx="0" cy="1714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323850</xdr:colOff>
      <xdr:row>93</xdr:row>
      <xdr:rowOff>9525</xdr:rowOff>
    </xdr:from>
    <xdr:to>
      <xdr:col>10</xdr:col>
      <xdr:colOff>666750</xdr:colOff>
      <xdr:row>93</xdr:row>
      <xdr:rowOff>9525</xdr:rowOff>
    </xdr:to>
    <xdr:sp macro="" textlink="">
      <xdr:nvSpPr>
        <xdr:cNvPr id="20549" name="Line 147">
          <a:extLst>
            <a:ext uri="{FF2B5EF4-FFF2-40B4-BE49-F238E27FC236}">
              <a16:creationId xmlns:a16="http://schemas.microsoft.com/office/drawing/2014/main" id="{6F8D7690-EAAD-593B-4588-117D6CC764EE}"/>
            </a:ext>
          </a:extLst>
        </xdr:cNvPr>
        <xdr:cNvSpPr>
          <a:spLocks noChangeShapeType="1"/>
        </xdr:cNvSpPr>
      </xdr:nvSpPr>
      <xdr:spPr bwMode="auto">
        <a:xfrm>
          <a:off x="3162300" y="15763875"/>
          <a:ext cx="2676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2638425</xdr:colOff>
      <xdr:row>93</xdr:row>
      <xdr:rowOff>9525</xdr:rowOff>
    </xdr:from>
    <xdr:to>
      <xdr:col>10</xdr:col>
      <xdr:colOff>2638425</xdr:colOff>
      <xdr:row>94</xdr:row>
      <xdr:rowOff>38100</xdr:rowOff>
    </xdr:to>
    <xdr:sp macro="" textlink="">
      <xdr:nvSpPr>
        <xdr:cNvPr id="20550" name="Line 134">
          <a:extLst>
            <a:ext uri="{FF2B5EF4-FFF2-40B4-BE49-F238E27FC236}">
              <a16:creationId xmlns:a16="http://schemas.microsoft.com/office/drawing/2014/main" id="{36D3158F-2316-ADE6-F8FE-393B3734AA3A}"/>
            </a:ext>
          </a:extLst>
        </xdr:cNvPr>
        <xdr:cNvSpPr>
          <a:spLocks noChangeShapeType="1"/>
        </xdr:cNvSpPr>
      </xdr:nvSpPr>
      <xdr:spPr bwMode="auto">
        <a:xfrm flipV="1">
          <a:off x="7810500" y="15763875"/>
          <a:ext cx="0" cy="19050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657225</xdr:colOff>
      <xdr:row>93</xdr:row>
      <xdr:rowOff>9525</xdr:rowOff>
    </xdr:from>
    <xdr:to>
      <xdr:col>10</xdr:col>
      <xdr:colOff>2638425</xdr:colOff>
      <xdr:row>93</xdr:row>
      <xdr:rowOff>9525</xdr:rowOff>
    </xdr:to>
    <xdr:sp macro="" textlink="">
      <xdr:nvSpPr>
        <xdr:cNvPr id="20551" name="Line 147">
          <a:extLst>
            <a:ext uri="{FF2B5EF4-FFF2-40B4-BE49-F238E27FC236}">
              <a16:creationId xmlns:a16="http://schemas.microsoft.com/office/drawing/2014/main" id="{60F2EFCF-3CAB-CEEF-E852-F339FA6C9B6B}"/>
            </a:ext>
          </a:extLst>
        </xdr:cNvPr>
        <xdr:cNvSpPr>
          <a:spLocks noChangeShapeType="1"/>
        </xdr:cNvSpPr>
      </xdr:nvSpPr>
      <xdr:spPr bwMode="auto">
        <a:xfrm>
          <a:off x="5829300" y="15763875"/>
          <a:ext cx="19812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93</xdr:row>
      <xdr:rowOff>9525</xdr:rowOff>
    </xdr:from>
    <xdr:to>
      <xdr:col>9</xdr:col>
      <xdr:colOff>38100</xdr:colOff>
      <xdr:row>94</xdr:row>
      <xdr:rowOff>9525</xdr:rowOff>
    </xdr:to>
    <xdr:sp macro="" textlink="">
      <xdr:nvSpPr>
        <xdr:cNvPr id="20552" name="Line 133">
          <a:extLst>
            <a:ext uri="{FF2B5EF4-FFF2-40B4-BE49-F238E27FC236}">
              <a16:creationId xmlns:a16="http://schemas.microsoft.com/office/drawing/2014/main" id="{CDB2E104-5E33-A997-5057-08FECA0AD45C}"/>
            </a:ext>
          </a:extLst>
        </xdr:cNvPr>
        <xdr:cNvSpPr>
          <a:spLocks noChangeShapeType="1"/>
        </xdr:cNvSpPr>
      </xdr:nvSpPr>
      <xdr:spPr bwMode="auto">
        <a:xfrm flipH="1" flipV="1">
          <a:off x="5029200" y="15763875"/>
          <a:ext cx="0" cy="1619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676275</xdr:colOff>
      <xdr:row>93</xdr:row>
      <xdr:rowOff>9525</xdr:rowOff>
    </xdr:from>
    <xdr:to>
      <xdr:col>5</xdr:col>
      <xdr:colOff>676275</xdr:colOff>
      <xdr:row>94</xdr:row>
      <xdr:rowOff>38100</xdr:rowOff>
    </xdr:to>
    <xdr:sp macro="" textlink="">
      <xdr:nvSpPr>
        <xdr:cNvPr id="20553" name="Line 134">
          <a:extLst>
            <a:ext uri="{FF2B5EF4-FFF2-40B4-BE49-F238E27FC236}">
              <a16:creationId xmlns:a16="http://schemas.microsoft.com/office/drawing/2014/main" id="{792A61DD-D365-FA37-A5CE-3484B1A1B99C}"/>
            </a:ext>
          </a:extLst>
        </xdr:cNvPr>
        <xdr:cNvSpPr>
          <a:spLocks noChangeShapeType="1"/>
        </xdr:cNvSpPr>
      </xdr:nvSpPr>
      <xdr:spPr bwMode="auto">
        <a:xfrm flipV="1">
          <a:off x="3514725" y="15763875"/>
          <a:ext cx="0" cy="19050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295275</xdr:colOff>
      <xdr:row>93</xdr:row>
      <xdr:rowOff>9525</xdr:rowOff>
    </xdr:from>
    <xdr:to>
      <xdr:col>2</xdr:col>
      <xdr:colOff>295275</xdr:colOff>
      <xdr:row>94</xdr:row>
      <xdr:rowOff>38100</xdr:rowOff>
    </xdr:to>
    <xdr:sp macro="" textlink="">
      <xdr:nvSpPr>
        <xdr:cNvPr id="20554" name="Line 134">
          <a:extLst>
            <a:ext uri="{FF2B5EF4-FFF2-40B4-BE49-F238E27FC236}">
              <a16:creationId xmlns:a16="http://schemas.microsoft.com/office/drawing/2014/main" id="{1C95F868-81B8-7BC9-91E4-96A60643AD4F}"/>
            </a:ext>
          </a:extLst>
        </xdr:cNvPr>
        <xdr:cNvSpPr>
          <a:spLocks noChangeShapeType="1"/>
        </xdr:cNvSpPr>
      </xdr:nvSpPr>
      <xdr:spPr bwMode="auto">
        <a:xfrm flipV="1">
          <a:off x="914400" y="15763875"/>
          <a:ext cx="0" cy="19050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1030605</xdr:colOff>
      <xdr:row>94</xdr:row>
      <xdr:rowOff>38100</xdr:rowOff>
    </xdr:from>
    <xdr:to>
      <xdr:col>4</xdr:col>
      <xdr:colOff>264665</xdr:colOff>
      <xdr:row>97</xdr:row>
      <xdr:rowOff>85725</xdr:rowOff>
    </xdr:to>
    <xdr:sp macro="" textlink="" fLocksText="0">
      <xdr:nvSpPr>
        <xdr:cNvPr id="46" name="Rectangle 148">
          <a:extLst>
            <a:ext uri="{FF2B5EF4-FFF2-40B4-BE49-F238E27FC236}">
              <a16:creationId xmlns:a16="http://schemas.microsoft.com/office/drawing/2014/main" id="{3E69EC3B-404A-E95B-A22A-5DFAA47AF4FA}"/>
            </a:ext>
          </a:extLst>
        </xdr:cNvPr>
        <xdr:cNvSpPr>
          <a:spLocks noChangeArrowheads="1"/>
        </xdr:cNvSpPr>
      </xdr:nvSpPr>
      <xdr:spPr bwMode="auto">
        <a:xfrm>
          <a:off x="1628775" y="16002000"/>
          <a:ext cx="1000125" cy="533400"/>
        </a:xfrm>
        <a:prstGeom prst="rect">
          <a:avLst/>
        </a:prstGeom>
        <a:solidFill>
          <a:srgbClr val="FFFF99"/>
        </a:solidFill>
        <a:ln w="38160">
          <a:solidFill>
            <a:srgbClr val="00008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Documentação</a:t>
          </a: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Matheus e Marciane</a:t>
          </a:r>
        </a:p>
        <a:p>
          <a:pPr algn="ctr" rtl="0"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131445</xdr:colOff>
      <xdr:row>94</xdr:row>
      <xdr:rowOff>28575</xdr:rowOff>
    </xdr:from>
    <xdr:to>
      <xdr:col>6</xdr:col>
      <xdr:colOff>435429</xdr:colOff>
      <xdr:row>98</xdr:row>
      <xdr:rowOff>136072</xdr:rowOff>
    </xdr:to>
    <xdr:sp macro="" textlink="" fLocksText="0">
      <xdr:nvSpPr>
        <xdr:cNvPr id="14954" name="Rectangle 148">
          <a:extLst>
            <a:ext uri="{FF2B5EF4-FFF2-40B4-BE49-F238E27FC236}">
              <a16:creationId xmlns:a16="http://schemas.microsoft.com/office/drawing/2014/main" id="{BE7FA687-D958-05E6-55F5-365698E151E8}"/>
            </a:ext>
          </a:extLst>
        </xdr:cNvPr>
        <xdr:cNvSpPr>
          <a:spLocks noChangeArrowheads="1"/>
        </xdr:cNvSpPr>
      </xdr:nvSpPr>
      <xdr:spPr bwMode="auto">
        <a:xfrm>
          <a:off x="3079659" y="20929146"/>
          <a:ext cx="1102270" cy="760640"/>
        </a:xfrm>
        <a:prstGeom prst="rect">
          <a:avLst/>
        </a:prstGeom>
        <a:solidFill>
          <a:srgbClr val="FFFF99"/>
        </a:solidFill>
        <a:ln w="38160">
          <a:solidFill>
            <a:srgbClr val="00008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Construtor/relatório fotográfico</a:t>
          </a:r>
        </a:p>
        <a:p>
          <a:pPr algn="ctr" rtl="0"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Fernanda</a:t>
          </a:r>
        </a:p>
        <a:p>
          <a:pPr algn="ctr" rtl="0">
            <a:defRPr sz="1000"/>
          </a:pP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360045</xdr:colOff>
      <xdr:row>94</xdr:row>
      <xdr:rowOff>28575</xdr:rowOff>
    </xdr:from>
    <xdr:to>
      <xdr:col>10</xdr:col>
      <xdr:colOff>386838</xdr:colOff>
      <xdr:row>98</xdr:row>
      <xdr:rowOff>99786</xdr:rowOff>
    </xdr:to>
    <xdr:sp macro="" textlink="" fLocksText="0">
      <xdr:nvSpPr>
        <xdr:cNvPr id="14955" name="Rectangle 148">
          <a:extLst>
            <a:ext uri="{FF2B5EF4-FFF2-40B4-BE49-F238E27FC236}">
              <a16:creationId xmlns:a16="http://schemas.microsoft.com/office/drawing/2014/main" id="{23139C52-C0E1-D133-05E2-931CE64A0129}"/>
            </a:ext>
          </a:extLst>
        </xdr:cNvPr>
        <xdr:cNvSpPr>
          <a:spLocks noChangeArrowheads="1"/>
        </xdr:cNvSpPr>
      </xdr:nvSpPr>
      <xdr:spPr bwMode="auto">
        <a:xfrm>
          <a:off x="4714331" y="20929146"/>
          <a:ext cx="1051864" cy="724354"/>
        </a:xfrm>
        <a:prstGeom prst="rect">
          <a:avLst/>
        </a:prstGeom>
        <a:solidFill>
          <a:srgbClr val="FFFF99"/>
        </a:solidFill>
        <a:ln w="38160">
          <a:solidFill>
            <a:srgbClr val="00008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lnSpc>
              <a:spcPts val="800"/>
            </a:lnSpc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Construção</a:t>
          </a:r>
        </a:p>
        <a:p>
          <a:pPr algn="ctr" rtl="0">
            <a:lnSpc>
              <a:spcPts val="800"/>
            </a:lnSpc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ct val="100000"/>
            </a:lnSpc>
            <a:defRPr sz="1000"/>
          </a:pPr>
          <a:r>
            <a:rPr lang="pt-BR" sz="1000" b="0" i="0" baseline="0">
              <a:effectLst/>
              <a:latin typeface="+mn-lt"/>
              <a:ea typeface="+mn-ea"/>
              <a:cs typeface="+mn-cs"/>
            </a:rPr>
            <a:t>Carlos Eduardo, Diego e Everton</a:t>
          </a: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800"/>
            </a:lnSpc>
            <a:defRPr sz="1000"/>
          </a:pP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700"/>
            </a:lnSpc>
            <a:defRPr sz="1000"/>
          </a:pP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641985</xdr:colOff>
      <xdr:row>94</xdr:row>
      <xdr:rowOff>1905</xdr:rowOff>
    </xdr:from>
    <xdr:to>
      <xdr:col>10</xdr:col>
      <xdr:colOff>1672724</xdr:colOff>
      <xdr:row>97</xdr:row>
      <xdr:rowOff>47852</xdr:rowOff>
    </xdr:to>
    <xdr:sp macro="" textlink="" fLocksText="0">
      <xdr:nvSpPr>
        <xdr:cNvPr id="44" name="Rectangle 148">
          <a:extLst>
            <a:ext uri="{FF2B5EF4-FFF2-40B4-BE49-F238E27FC236}">
              <a16:creationId xmlns:a16="http://schemas.microsoft.com/office/drawing/2014/main" id="{138F585F-B97D-96EB-BBFE-A8BE6046F49D}"/>
            </a:ext>
          </a:extLst>
        </xdr:cNvPr>
        <xdr:cNvSpPr>
          <a:spLocks noChangeArrowheads="1"/>
        </xdr:cNvSpPr>
      </xdr:nvSpPr>
      <xdr:spPr bwMode="auto">
        <a:xfrm>
          <a:off x="5781675" y="15973425"/>
          <a:ext cx="1019175" cy="533400"/>
        </a:xfrm>
        <a:prstGeom prst="rect">
          <a:avLst/>
        </a:prstGeom>
        <a:solidFill>
          <a:srgbClr val="FFFF99"/>
        </a:solidFill>
        <a:ln w="38160">
          <a:solidFill>
            <a:srgbClr val="00008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Planejamento/</a:t>
          </a: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auditor</a:t>
          </a: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Carlos Eduardo</a:t>
          </a:r>
        </a:p>
        <a:p>
          <a:pPr algn="ctr" rtl="0">
            <a:defRPr sz="1000"/>
          </a:pP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1872615</xdr:colOff>
      <xdr:row>94</xdr:row>
      <xdr:rowOff>1905</xdr:rowOff>
    </xdr:from>
    <xdr:to>
      <xdr:col>10</xdr:col>
      <xdr:colOff>2893588</xdr:colOff>
      <xdr:row>97</xdr:row>
      <xdr:rowOff>47852</xdr:rowOff>
    </xdr:to>
    <xdr:sp macro="" textlink="" fLocksText="0">
      <xdr:nvSpPr>
        <xdr:cNvPr id="14963" name="Rectangle 148">
          <a:extLst>
            <a:ext uri="{FF2B5EF4-FFF2-40B4-BE49-F238E27FC236}">
              <a16:creationId xmlns:a16="http://schemas.microsoft.com/office/drawing/2014/main" id="{8E47AFA3-052A-351F-1961-86ECFDADF1BF}"/>
            </a:ext>
          </a:extLst>
        </xdr:cNvPr>
        <xdr:cNvSpPr>
          <a:spLocks noChangeArrowheads="1"/>
        </xdr:cNvSpPr>
      </xdr:nvSpPr>
      <xdr:spPr bwMode="auto">
        <a:xfrm>
          <a:off x="7010400" y="15973425"/>
          <a:ext cx="1019175" cy="533400"/>
        </a:xfrm>
        <a:prstGeom prst="rect">
          <a:avLst/>
        </a:prstGeom>
        <a:solidFill>
          <a:srgbClr val="FFFF99"/>
        </a:solidFill>
        <a:ln w="38160">
          <a:solidFill>
            <a:srgbClr val="000080"/>
          </a:solidFill>
          <a:miter lim="800000"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Responsável pela</a:t>
          </a: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construção</a:t>
          </a:r>
        </a:p>
        <a:p>
          <a:pPr algn="ctr" rtl="0">
            <a:defRPr sz="1000"/>
          </a:pPr>
          <a:b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pt-BR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Everton</a:t>
          </a:r>
        </a:p>
        <a:p>
          <a:pPr algn="ctr" rtl="0">
            <a:defRPr sz="1000"/>
          </a:pPr>
          <a:endParaRPr lang="pt-BR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491490</xdr:colOff>
      <xdr:row>5</xdr:row>
      <xdr:rowOff>0</xdr:rowOff>
    </xdr:from>
    <xdr:to>
      <xdr:col>1</xdr:col>
      <xdr:colOff>2061164</xdr:colOff>
      <xdr:row>5</xdr:row>
      <xdr:rowOff>485775</xdr:rowOff>
    </xdr:to>
    <xdr:sp macro="" textlink="" fLocksText="0">
      <xdr:nvSpPr>
        <xdr:cNvPr id="6227" name="AutoShape 4">
          <a:extLst>
            <a:ext uri="{FF2B5EF4-FFF2-40B4-BE49-F238E27FC236}">
              <a16:creationId xmlns:a16="http://schemas.microsoft.com/office/drawing/2014/main" id="{538A1051-C132-3DA3-364D-C656A6327038}"/>
            </a:ext>
          </a:extLst>
        </xdr:cNvPr>
        <xdr:cNvSpPr>
          <a:spLocks noChangeArrowheads="1"/>
        </xdr:cNvSpPr>
      </xdr:nvSpPr>
      <xdr:spPr bwMode="auto">
        <a:xfrm rot="10800000">
          <a:off x="676275" y="1076325"/>
          <a:ext cx="1562100" cy="485775"/>
        </a:xfrm>
        <a:prstGeom prst="rtTriangle">
          <a:avLst/>
        </a:prstGeom>
        <a:solidFill>
          <a:srgbClr val="DCE5DB"/>
        </a:solidFill>
        <a:ln>
          <a:noFill/>
        </a:ln>
        <a:effectLst/>
      </xdr:spPr>
      <xdr:txBody>
        <a:bodyPr vertOverflow="clip" wrap="square" lIns="90000" tIns="46800" rIns="90000" bIns="46800" anchor="ctr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Verdana"/>
              <a:ea typeface="Verdana"/>
            </a:rPr>
            <a:t>Dia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4</xdr:col>
      <xdr:colOff>38100</xdr:colOff>
      <xdr:row>45</xdr:row>
      <xdr:rowOff>47625</xdr:rowOff>
    </xdr:to>
    <xdr:pic>
      <xdr:nvPicPr>
        <xdr:cNvPr id="5264" name="Imagem 1">
          <a:extLst>
            <a:ext uri="{FF2B5EF4-FFF2-40B4-BE49-F238E27FC236}">
              <a16:creationId xmlns:a16="http://schemas.microsoft.com/office/drawing/2014/main" id="{F02A6406-B63D-0F83-5EA6-C8794AF5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715125"/>
          <a:ext cx="4181475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mailto:nick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"/>
  <sheetViews>
    <sheetView showGridLines="0" topLeftCell="A9" workbookViewId="0">
      <selection activeCell="B12" sqref="B12"/>
    </sheetView>
  </sheetViews>
  <sheetFormatPr defaultColWidth="11.44140625" defaultRowHeight="13.2"/>
  <cols>
    <col min="1" max="1" width="2.44140625" style="1" customWidth="1"/>
    <col min="2" max="2" width="34.21875" style="1" customWidth="1"/>
    <col min="3" max="3" width="20.109375" style="1" customWidth="1"/>
    <col min="4" max="4" width="91" style="1" customWidth="1"/>
    <col min="5" max="5" width="2.44140625" style="1" customWidth="1"/>
    <col min="6" max="16384" width="11.44140625" style="1"/>
  </cols>
  <sheetData>
    <row r="1" spans="1:5" ht="11.25" customHeight="1">
      <c r="A1" s="346"/>
      <c r="B1" s="346"/>
      <c r="C1" s="346"/>
      <c r="D1" s="346"/>
      <c r="E1" s="346"/>
    </row>
    <row r="2" spans="1:5" ht="21.75" customHeight="1">
      <c r="A2" s="347"/>
      <c r="B2" s="2"/>
      <c r="C2" s="348" t="s">
        <v>0</v>
      </c>
      <c r="D2" s="348"/>
      <c r="E2" s="349"/>
    </row>
    <row r="3" spans="1:5" ht="20.25" customHeight="1">
      <c r="A3" s="347"/>
      <c r="B3" s="3"/>
      <c r="C3" s="348"/>
      <c r="D3" s="348"/>
      <c r="E3" s="349"/>
    </row>
    <row r="4" spans="1:5" ht="13.5" customHeight="1">
      <c r="A4" s="347"/>
      <c r="B4" s="350"/>
      <c r="C4" s="350"/>
      <c r="D4" s="350"/>
      <c r="E4" s="349"/>
    </row>
    <row r="5" spans="1:5" ht="33.75" customHeight="1">
      <c r="A5" s="347"/>
      <c r="B5" s="4" t="s">
        <v>1</v>
      </c>
      <c r="C5" s="351" t="s">
        <v>2</v>
      </c>
      <c r="D5" s="351"/>
      <c r="E5" s="349"/>
    </row>
    <row r="6" spans="1:5" ht="13.5" customHeight="1">
      <c r="A6" s="347"/>
      <c r="B6" s="352"/>
      <c r="C6" s="352"/>
      <c r="D6" s="352"/>
      <c r="E6" s="349"/>
    </row>
    <row r="7" spans="1:5">
      <c r="A7" s="347"/>
      <c r="B7" s="5" t="s">
        <v>3</v>
      </c>
      <c r="C7" s="205" t="s">
        <v>255</v>
      </c>
      <c r="D7" s="5" t="s">
        <v>4</v>
      </c>
      <c r="E7" s="349"/>
    </row>
    <row r="8" spans="1:5" ht="45.75" customHeight="1">
      <c r="A8" s="347"/>
      <c r="B8" s="6" t="s">
        <v>5</v>
      </c>
      <c r="C8" s="7" t="s">
        <v>6</v>
      </c>
      <c r="D8" s="8" t="s">
        <v>325</v>
      </c>
      <c r="E8" s="349"/>
    </row>
    <row r="9" spans="1:5" ht="127.5" customHeight="1">
      <c r="A9" s="347"/>
      <c r="B9" s="6" t="s">
        <v>7</v>
      </c>
      <c r="C9" s="9" t="s">
        <v>6</v>
      </c>
      <c r="D9" s="8" t="s">
        <v>324</v>
      </c>
      <c r="E9" s="349"/>
    </row>
    <row r="10" spans="1:5" ht="51.75" customHeight="1">
      <c r="A10" s="347"/>
      <c r="B10" s="10" t="s">
        <v>8</v>
      </c>
      <c r="C10" s="11" t="s">
        <v>6</v>
      </c>
      <c r="D10" s="8" t="s">
        <v>9</v>
      </c>
      <c r="E10" s="349"/>
    </row>
    <row r="11" spans="1:5" ht="31.5" customHeight="1">
      <c r="A11" s="347"/>
      <c r="B11" s="10" t="s">
        <v>10</v>
      </c>
      <c r="C11" s="11" t="s">
        <v>6</v>
      </c>
      <c r="D11" s="8" t="s">
        <v>326</v>
      </c>
      <c r="E11" s="349"/>
    </row>
    <row r="12" spans="1:5" ht="51.75" customHeight="1">
      <c r="A12" s="347"/>
      <c r="B12" s="10" t="s">
        <v>11</v>
      </c>
      <c r="C12" s="11" t="s">
        <v>6</v>
      </c>
      <c r="D12" s="8" t="s">
        <v>327</v>
      </c>
      <c r="E12" s="349"/>
    </row>
    <row r="13" spans="1:5" ht="30" customHeight="1">
      <c r="A13" s="347"/>
      <c r="B13" s="12" t="s">
        <v>12</v>
      </c>
      <c r="C13" s="11" t="s">
        <v>6</v>
      </c>
      <c r="D13" s="8" t="s">
        <v>328</v>
      </c>
      <c r="E13" s="349"/>
    </row>
    <row r="14" spans="1:5" ht="30" customHeight="1">
      <c r="A14" s="347"/>
      <c r="B14" s="6" t="s">
        <v>13</v>
      </c>
      <c r="C14" s="11" t="s">
        <v>6</v>
      </c>
      <c r="D14" s="13" t="s">
        <v>329</v>
      </c>
      <c r="E14" s="349"/>
    </row>
    <row r="15" spans="1:5" ht="21.6" customHeight="1">
      <c r="A15" s="347"/>
      <c r="B15" s="10" t="s">
        <v>14</v>
      </c>
      <c r="C15" s="11" t="s">
        <v>6</v>
      </c>
      <c r="D15" s="8" t="s">
        <v>15</v>
      </c>
      <c r="E15" s="349"/>
    </row>
    <row r="16" spans="1:5" ht="21.6" customHeight="1">
      <c r="A16" s="347"/>
      <c r="B16" s="10" t="s">
        <v>16</v>
      </c>
      <c r="C16" s="11" t="s">
        <v>6</v>
      </c>
      <c r="D16" s="8" t="s">
        <v>17</v>
      </c>
      <c r="E16" s="349"/>
    </row>
    <row r="17" spans="1:5" ht="36.75" customHeight="1">
      <c r="A17" s="347"/>
      <c r="B17" s="10" t="s">
        <v>18</v>
      </c>
      <c r="C17" s="11" t="s">
        <v>6</v>
      </c>
      <c r="D17" s="8" t="s">
        <v>19</v>
      </c>
      <c r="E17" s="349"/>
    </row>
    <row r="18" spans="1:5" ht="36" customHeight="1">
      <c r="A18" s="347"/>
      <c r="B18" s="10" t="s">
        <v>20</v>
      </c>
      <c r="C18" s="11"/>
      <c r="D18" s="8" t="s">
        <v>21</v>
      </c>
      <c r="E18" s="349"/>
    </row>
    <row r="19" spans="1:5" ht="27" customHeight="1">
      <c r="A19" s="347"/>
      <c r="B19" s="12" t="s">
        <v>22</v>
      </c>
      <c r="C19" s="11" t="s">
        <v>6</v>
      </c>
      <c r="D19" s="8" t="s">
        <v>23</v>
      </c>
      <c r="E19" s="349"/>
    </row>
    <row r="20" spans="1:5" ht="28.5" customHeight="1">
      <c r="A20" s="347"/>
      <c r="B20" s="12" t="s">
        <v>24</v>
      </c>
      <c r="C20" s="14"/>
      <c r="D20" s="8" t="s">
        <v>25</v>
      </c>
      <c r="E20" s="349"/>
    </row>
    <row r="21" spans="1:5" ht="14.25" customHeight="1">
      <c r="A21" s="347"/>
      <c r="B21" s="353"/>
      <c r="C21" s="353"/>
      <c r="D21" s="353"/>
      <c r="E21" s="349"/>
    </row>
    <row r="22" spans="1:5" ht="17.25" customHeight="1">
      <c r="A22" s="347"/>
      <c r="B22" s="343" t="s">
        <v>26</v>
      </c>
      <c r="C22" s="343"/>
      <c r="D22" s="343"/>
      <c r="E22" s="349"/>
    </row>
    <row r="23" spans="1:5" ht="4.3499999999999996" customHeight="1">
      <c r="A23" s="347"/>
      <c r="B23" s="3"/>
      <c r="C23" s="3"/>
      <c r="D23" s="3"/>
      <c r="E23" s="349"/>
    </row>
    <row r="24" spans="1:5" ht="17.25" customHeight="1">
      <c r="A24" s="347"/>
      <c r="B24" s="15" t="s">
        <v>613</v>
      </c>
      <c r="C24" s="344" t="s">
        <v>614</v>
      </c>
      <c r="D24" s="344"/>
      <c r="E24" s="349"/>
    </row>
    <row r="25" spans="1:5" ht="17.25" customHeight="1">
      <c r="A25" s="347"/>
      <c r="B25" s="15"/>
      <c r="C25" s="344"/>
      <c r="D25" s="344"/>
      <c r="E25" s="349"/>
    </row>
    <row r="26" spans="1:5" ht="12" customHeight="1">
      <c r="A26" s="345"/>
      <c r="B26" s="345"/>
      <c r="C26" s="345"/>
      <c r="D26" s="345"/>
      <c r="E26" s="349"/>
    </row>
  </sheetData>
  <sheetProtection selectLockedCells="1" selectUnlockedCells="1"/>
  <mergeCells count="12">
    <mergeCell ref="B22:D22"/>
    <mergeCell ref="C24:D24"/>
    <mergeCell ref="C25:D25"/>
    <mergeCell ref="A26:D26"/>
    <mergeCell ref="A1:E1"/>
    <mergeCell ref="A2:A25"/>
    <mergeCell ref="C2:D3"/>
    <mergeCell ref="E2:E26"/>
    <mergeCell ref="B4:D4"/>
    <mergeCell ref="C5:D5"/>
    <mergeCell ref="B6:D6"/>
    <mergeCell ref="B21:D21"/>
  </mergeCells>
  <phoneticPr fontId="27" type="noConversion"/>
  <pageMargins left="0.27569444444444446" right="0.15763888888888888" top="0.52986111111111112" bottom="0.39305555555555555" header="0.15763888888888888" footer="0.19652777777777777"/>
  <pageSetup paperSize="9" firstPageNumber="0" orientation="landscape" horizontalDpi="300" verticalDpi="300"/>
  <headerFooter alignWithMargins="0">
    <oddHeader>&amp;RCORPORATIVO</oddHeader>
    <oddFooter xml:space="preserve">&amp;LGestor: TIC/TIC-EP/GDIEP&amp;CPágina &amp;P de &amp;N&amp;Rversão 1.0 - janeiro/2010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topLeftCell="A23" zoomScale="70" zoomScaleNormal="70" workbookViewId="0">
      <selection activeCell="A30" sqref="A30:H30"/>
    </sheetView>
  </sheetViews>
  <sheetFormatPr defaultRowHeight="13.2"/>
  <cols>
    <col min="2" max="2" width="18.44140625" customWidth="1"/>
    <col min="6" max="6" width="19.77734375" customWidth="1"/>
    <col min="8" max="8" width="95.88671875" customWidth="1"/>
  </cols>
  <sheetData>
    <row r="1" spans="1:8" ht="15.75" customHeight="1">
      <c r="A1" s="400" t="s">
        <v>249</v>
      </c>
      <c r="B1" s="400"/>
      <c r="C1" s="400"/>
      <c r="D1" s="400"/>
      <c r="E1" s="400"/>
      <c r="F1" s="400"/>
      <c r="G1" s="400"/>
      <c r="H1" s="400"/>
    </row>
    <row r="2" spans="1:8" ht="14.25" customHeight="1">
      <c r="A2" s="401"/>
      <c r="B2" s="401"/>
      <c r="C2" s="401"/>
      <c r="D2" s="401"/>
      <c r="E2" s="401"/>
      <c r="F2" s="401"/>
      <c r="G2" s="401"/>
      <c r="H2" s="401"/>
    </row>
    <row r="3" spans="1:8" ht="14.25" customHeight="1">
      <c r="A3" s="402" t="s">
        <v>245</v>
      </c>
      <c r="B3" s="402"/>
      <c r="C3" s="402"/>
      <c r="D3" s="402"/>
      <c r="E3" s="402"/>
      <c r="F3" s="402"/>
      <c r="G3" s="402"/>
      <c r="H3" s="402"/>
    </row>
    <row r="4" spans="1:8" ht="14.25" customHeight="1">
      <c r="A4" s="399" t="s">
        <v>246</v>
      </c>
      <c r="B4" s="399"/>
      <c r="C4" s="399" t="s">
        <v>117</v>
      </c>
      <c r="D4" s="399"/>
      <c r="E4" s="399" t="s">
        <v>247</v>
      </c>
      <c r="F4" s="399"/>
      <c r="G4" s="399" t="s">
        <v>248</v>
      </c>
      <c r="H4" s="399"/>
    </row>
    <row r="5" spans="1:8" ht="14.25" customHeight="1">
      <c r="A5" s="397">
        <v>1</v>
      </c>
      <c r="B5" s="397"/>
      <c r="C5" s="398">
        <v>46318</v>
      </c>
      <c r="D5" s="397"/>
      <c r="E5" s="356" t="s">
        <v>360</v>
      </c>
      <c r="F5" s="356"/>
      <c r="G5" s="399" t="s">
        <v>615</v>
      </c>
      <c r="H5" s="399"/>
    </row>
    <row r="6" spans="1:8" ht="14.25" customHeight="1">
      <c r="A6" s="397">
        <v>2</v>
      </c>
      <c r="B6" s="397"/>
      <c r="C6" s="398"/>
      <c r="D6" s="397"/>
      <c r="E6" s="356"/>
      <c r="F6" s="356"/>
      <c r="G6" s="399"/>
      <c r="H6" s="399"/>
    </row>
    <row r="7" spans="1:8" ht="14.25" customHeight="1">
      <c r="A7" s="369"/>
      <c r="B7" s="370"/>
      <c r="C7" s="369"/>
      <c r="D7" s="370"/>
      <c r="E7" s="369"/>
      <c r="F7" s="370"/>
      <c r="G7" s="369"/>
      <c r="H7" s="370"/>
    </row>
    <row r="8" spans="1:8" ht="13.8">
      <c r="A8" s="382" t="s">
        <v>208</v>
      </c>
      <c r="B8" s="383"/>
      <c r="C8" s="383"/>
      <c r="D8" s="383"/>
      <c r="E8" s="383"/>
      <c r="F8" s="383"/>
      <c r="G8" s="383"/>
      <c r="H8" s="384"/>
    </row>
    <row r="9" spans="1:8" ht="13.8">
      <c r="A9" s="178"/>
      <c r="B9" s="179"/>
      <c r="C9" s="179"/>
      <c r="D9" s="179"/>
      <c r="E9" s="179"/>
      <c r="F9" s="179"/>
      <c r="G9" s="179"/>
      <c r="H9" s="169"/>
    </row>
    <row r="10" spans="1:8" ht="14.25" customHeight="1">
      <c r="A10" s="369" t="s">
        <v>244</v>
      </c>
      <c r="B10" s="370"/>
      <c r="C10" s="391" t="s">
        <v>448</v>
      </c>
      <c r="D10" s="392"/>
      <c r="E10" s="392"/>
      <c r="F10" s="392"/>
      <c r="G10" s="392"/>
      <c r="H10" s="393"/>
    </row>
    <row r="11" spans="1:8" ht="13.8">
      <c r="A11" s="172"/>
      <c r="B11" s="173"/>
      <c r="C11" s="184"/>
      <c r="D11" s="184"/>
      <c r="E11" s="184"/>
      <c r="F11" s="184"/>
      <c r="G11" s="184"/>
      <c r="H11" s="171"/>
    </row>
    <row r="12" spans="1:8" ht="14.25" customHeight="1">
      <c r="A12" s="369" t="s">
        <v>253</v>
      </c>
      <c r="B12" s="370"/>
      <c r="C12" s="391" t="s">
        <v>252</v>
      </c>
      <c r="D12" s="392"/>
      <c r="E12" s="392"/>
      <c r="F12" s="392"/>
      <c r="G12" s="392"/>
      <c r="H12" s="393"/>
    </row>
    <row r="13" spans="1:8" ht="13.8">
      <c r="A13" s="172"/>
      <c r="B13" s="173"/>
      <c r="C13" s="184"/>
      <c r="D13" s="184"/>
      <c r="E13" s="184"/>
      <c r="F13" s="184"/>
      <c r="G13" s="184"/>
      <c r="H13" s="171"/>
    </row>
    <row r="14" spans="1:8" ht="13.8">
      <c r="A14" s="369" t="s">
        <v>210</v>
      </c>
      <c r="B14" s="370"/>
      <c r="C14" s="394" t="s">
        <v>209</v>
      </c>
      <c r="D14" s="395"/>
      <c r="E14" s="395"/>
      <c r="F14" s="395"/>
      <c r="G14" s="395"/>
      <c r="H14" s="396"/>
    </row>
    <row r="15" spans="1:8" ht="13.8">
      <c r="A15" s="182"/>
      <c r="B15" s="167"/>
      <c r="C15" s="170"/>
      <c r="D15" s="170"/>
      <c r="E15" s="170"/>
      <c r="F15" s="170"/>
      <c r="G15" s="170"/>
      <c r="H15" s="171"/>
    </row>
    <row r="16" spans="1:8" ht="13.8">
      <c r="A16" s="382" t="s">
        <v>211</v>
      </c>
      <c r="B16" s="383"/>
      <c r="C16" s="383"/>
      <c r="D16" s="383"/>
      <c r="E16" s="383"/>
      <c r="F16" s="383"/>
      <c r="G16" s="383"/>
      <c r="H16" s="384"/>
    </row>
    <row r="17" spans="1:8" ht="166.05" customHeight="1">
      <c r="A17" s="374" t="s">
        <v>512</v>
      </c>
      <c r="B17" s="375"/>
      <c r="C17" s="375"/>
      <c r="D17" s="375"/>
      <c r="E17" s="375"/>
      <c r="F17" s="375"/>
      <c r="G17" s="375"/>
      <c r="H17" s="376"/>
    </row>
    <row r="18" spans="1:8" ht="15" customHeight="1">
      <c r="A18" s="382" t="s">
        <v>322</v>
      </c>
      <c r="B18" s="383"/>
      <c r="C18" s="383"/>
      <c r="D18" s="383"/>
      <c r="E18" s="383"/>
      <c r="F18" s="383"/>
      <c r="G18" s="383"/>
      <c r="H18" s="384"/>
    </row>
    <row r="19" spans="1:8" ht="107.55" customHeight="1">
      <c r="A19" s="374" t="s">
        <v>462</v>
      </c>
      <c r="B19" s="380"/>
      <c r="C19" s="380"/>
      <c r="D19" s="380"/>
      <c r="E19" s="380"/>
      <c r="F19" s="380"/>
      <c r="G19" s="380"/>
      <c r="H19" s="381"/>
    </row>
    <row r="20" spans="1:8" ht="55.95" customHeight="1">
      <c r="A20" s="374"/>
      <c r="B20" s="375"/>
      <c r="C20" s="375"/>
      <c r="D20" s="375"/>
      <c r="E20" s="375"/>
      <c r="F20" s="375"/>
      <c r="G20" s="375"/>
      <c r="H20" s="376"/>
    </row>
    <row r="21" spans="1:8" ht="15" customHeight="1">
      <c r="A21" s="382" t="s">
        <v>212</v>
      </c>
      <c r="B21" s="383"/>
      <c r="C21" s="383"/>
      <c r="D21" s="383"/>
      <c r="E21" s="383"/>
      <c r="F21" s="383"/>
      <c r="G21" s="383"/>
      <c r="H21" s="384"/>
    </row>
    <row r="22" spans="1:8" ht="13.8">
      <c r="A22" s="377" t="s">
        <v>213</v>
      </c>
      <c r="B22" s="378" t="s">
        <v>213</v>
      </c>
      <c r="C22" s="378"/>
      <c r="D22" s="378"/>
      <c r="E22" s="378"/>
      <c r="F22" s="378"/>
      <c r="G22" s="378"/>
      <c r="H22" s="379"/>
    </row>
    <row r="23" spans="1:8" ht="123.45" customHeight="1">
      <c r="A23" s="374" t="s">
        <v>463</v>
      </c>
      <c r="B23" s="389"/>
      <c r="C23" s="389"/>
      <c r="D23" s="389"/>
      <c r="E23" s="389"/>
      <c r="F23" s="389"/>
      <c r="G23" s="389"/>
      <c r="H23" s="390"/>
    </row>
    <row r="24" spans="1:8" ht="13.8">
      <c r="A24" s="377" t="s">
        <v>250</v>
      </c>
      <c r="B24" s="378" t="s">
        <v>214</v>
      </c>
      <c r="C24" s="378"/>
      <c r="D24" s="378"/>
      <c r="E24" s="378"/>
      <c r="F24" s="378"/>
      <c r="G24" s="378"/>
      <c r="H24" s="379"/>
    </row>
    <row r="25" spans="1:8" ht="117" customHeight="1">
      <c r="A25" s="374" t="s">
        <v>464</v>
      </c>
      <c r="B25" s="375"/>
      <c r="C25" s="375"/>
      <c r="D25" s="375"/>
      <c r="E25" s="375"/>
      <c r="F25" s="375"/>
      <c r="G25" s="375"/>
      <c r="H25" s="376"/>
    </row>
    <row r="26" spans="1:8" ht="13.8">
      <c r="A26" s="385" t="s">
        <v>215</v>
      </c>
      <c r="B26" s="386"/>
      <c r="C26" s="386"/>
      <c r="D26" s="386"/>
      <c r="E26" s="386"/>
      <c r="F26" s="386"/>
      <c r="G26" s="386"/>
      <c r="H26" s="387"/>
    </row>
    <row r="27" spans="1:8" ht="14.25" customHeight="1">
      <c r="A27" s="374" t="s">
        <v>514</v>
      </c>
      <c r="B27" s="380"/>
      <c r="C27" s="380"/>
      <c r="D27" s="380"/>
      <c r="E27" s="380"/>
      <c r="F27" s="380"/>
      <c r="G27" s="380"/>
      <c r="H27" s="381"/>
    </row>
    <row r="28" spans="1:8" ht="13.8">
      <c r="A28" s="385" t="s">
        <v>216</v>
      </c>
      <c r="B28" s="386"/>
      <c r="C28" s="386"/>
      <c r="D28" s="386"/>
      <c r="E28" s="386"/>
      <c r="F28" s="386"/>
      <c r="G28" s="386"/>
      <c r="H28" s="387"/>
    </row>
    <row r="29" spans="1:8" ht="13.8">
      <c r="A29" s="388" t="s">
        <v>369</v>
      </c>
      <c r="B29" s="380"/>
      <c r="C29" s="380"/>
      <c r="D29" s="380"/>
      <c r="E29" s="380"/>
      <c r="F29" s="380"/>
      <c r="G29" s="380"/>
      <c r="H29" s="381"/>
    </row>
    <row r="30" spans="1:8" ht="13.8">
      <c r="A30" s="385" t="s">
        <v>217</v>
      </c>
      <c r="B30" s="386"/>
      <c r="C30" s="386"/>
      <c r="D30" s="386"/>
      <c r="E30" s="386"/>
      <c r="F30" s="386"/>
      <c r="G30" s="386"/>
      <c r="H30" s="387"/>
    </row>
    <row r="31" spans="1:8" ht="13.8">
      <c r="A31" s="374"/>
      <c r="B31" s="375"/>
      <c r="C31" s="375"/>
      <c r="D31" s="375"/>
      <c r="E31" s="375"/>
      <c r="F31" s="375"/>
      <c r="G31" s="375"/>
      <c r="H31" s="376"/>
    </row>
    <row r="32" spans="1:8" ht="13.8">
      <c r="A32" s="363" t="s">
        <v>251</v>
      </c>
      <c r="B32" s="363"/>
      <c r="C32" s="363"/>
      <c r="D32" s="363"/>
      <c r="E32" s="363"/>
      <c r="F32" s="363"/>
      <c r="G32" s="363"/>
      <c r="H32" s="363"/>
    </row>
    <row r="33" spans="1:8" ht="124.95" customHeight="1">
      <c r="A33" s="374" t="s">
        <v>372</v>
      </c>
      <c r="B33" s="375"/>
      <c r="C33" s="375"/>
      <c r="D33" s="375"/>
      <c r="E33" s="375"/>
      <c r="F33" s="375"/>
      <c r="G33" s="375"/>
      <c r="H33" s="376"/>
    </row>
    <row r="34" spans="1:8" ht="13.8">
      <c r="A34" s="363" t="s">
        <v>218</v>
      </c>
      <c r="B34" s="363"/>
      <c r="C34" s="363"/>
      <c r="D34" s="363"/>
      <c r="E34" s="363"/>
      <c r="F34" s="363"/>
      <c r="G34" s="363"/>
      <c r="H34" s="363"/>
    </row>
    <row r="35" spans="1:8" ht="13.8">
      <c r="A35" s="377" t="s">
        <v>219</v>
      </c>
      <c r="B35" s="378" t="s">
        <v>213</v>
      </c>
      <c r="C35" s="378"/>
      <c r="D35" s="378"/>
      <c r="E35" s="378"/>
      <c r="F35" s="378"/>
      <c r="G35" s="378"/>
      <c r="H35" s="379"/>
    </row>
    <row r="36" spans="1:8" ht="240" customHeight="1">
      <c r="A36" s="374" t="s">
        <v>374</v>
      </c>
      <c r="B36" s="380"/>
      <c r="C36" s="380"/>
      <c r="D36" s="380"/>
      <c r="E36" s="380"/>
      <c r="F36" s="380"/>
      <c r="G36" s="380"/>
      <c r="H36" s="381"/>
    </row>
    <row r="37" spans="1:8" ht="13.8">
      <c r="A37" s="377" t="s">
        <v>220</v>
      </c>
      <c r="B37" s="378" t="s">
        <v>213</v>
      </c>
      <c r="C37" s="378"/>
      <c r="D37" s="378"/>
      <c r="E37" s="378"/>
      <c r="F37" s="378"/>
      <c r="G37" s="378"/>
      <c r="H37" s="379"/>
    </row>
    <row r="38" spans="1:8" ht="120.45" customHeight="1">
      <c r="A38" s="374" t="s">
        <v>465</v>
      </c>
      <c r="B38" s="380"/>
      <c r="C38" s="380"/>
      <c r="D38" s="380"/>
      <c r="E38" s="380"/>
      <c r="F38" s="380"/>
      <c r="G38" s="380"/>
      <c r="H38" s="381"/>
    </row>
    <row r="39" spans="1:8" ht="13.8">
      <c r="A39" s="377" t="s">
        <v>221</v>
      </c>
      <c r="B39" s="378" t="s">
        <v>213</v>
      </c>
      <c r="C39" s="378"/>
      <c r="D39" s="378"/>
      <c r="E39" s="378"/>
      <c r="F39" s="378"/>
      <c r="G39" s="378"/>
      <c r="H39" s="379"/>
    </row>
    <row r="40" spans="1:8" ht="154.5" customHeight="1">
      <c r="A40" s="374" t="s">
        <v>467</v>
      </c>
      <c r="B40" s="375"/>
      <c r="C40" s="375"/>
      <c r="D40" s="375"/>
      <c r="E40" s="375"/>
      <c r="F40" s="375"/>
      <c r="G40" s="375"/>
      <c r="H40" s="376"/>
    </row>
    <row r="41" spans="1:8" ht="13.8">
      <c r="A41" s="377" t="s">
        <v>222</v>
      </c>
      <c r="B41" s="378" t="s">
        <v>213</v>
      </c>
      <c r="C41" s="378"/>
      <c r="D41" s="378"/>
      <c r="E41" s="378"/>
      <c r="F41" s="378"/>
      <c r="G41" s="378"/>
      <c r="H41" s="379"/>
    </row>
    <row r="42" spans="1:8" ht="120.45" customHeight="1">
      <c r="A42" s="374" t="s">
        <v>469</v>
      </c>
      <c r="B42" s="380"/>
      <c r="C42" s="380"/>
      <c r="D42" s="380"/>
      <c r="E42" s="380"/>
      <c r="F42" s="380"/>
      <c r="G42" s="380"/>
      <c r="H42" s="381"/>
    </row>
    <row r="43" spans="1:8" ht="13.8">
      <c r="A43" s="382" t="s">
        <v>223</v>
      </c>
      <c r="B43" s="383"/>
      <c r="C43" s="383"/>
      <c r="D43" s="383"/>
      <c r="E43" s="383"/>
      <c r="F43" s="383"/>
      <c r="G43" s="383"/>
      <c r="H43" s="384"/>
    </row>
    <row r="44" spans="1:8" ht="13.8">
      <c r="A44" s="178"/>
      <c r="B44" s="179"/>
      <c r="C44" s="168"/>
      <c r="D44" s="168"/>
      <c r="E44" s="168"/>
      <c r="F44" s="168"/>
      <c r="G44" s="168"/>
      <c r="H44" s="169"/>
    </row>
    <row r="45" spans="1:8" ht="13.8">
      <c r="A45" s="369" t="s">
        <v>224</v>
      </c>
      <c r="B45" s="370"/>
      <c r="C45" s="371" t="s">
        <v>345</v>
      </c>
      <c r="D45" s="372"/>
      <c r="E45" s="372"/>
      <c r="F45" s="372"/>
      <c r="G45" s="373"/>
      <c r="H45" s="171"/>
    </row>
    <row r="46" spans="1:8" ht="13.8">
      <c r="A46" s="369" t="s">
        <v>225</v>
      </c>
      <c r="B46" s="370"/>
      <c r="C46" s="371"/>
      <c r="D46" s="372"/>
      <c r="E46" s="372"/>
      <c r="F46" s="372"/>
      <c r="G46" s="373"/>
      <c r="H46" s="180"/>
    </row>
    <row r="47" spans="1:8" ht="13.8">
      <c r="A47" s="369" t="s">
        <v>226</v>
      </c>
      <c r="B47" s="370"/>
      <c r="C47" s="371"/>
      <c r="D47" s="372"/>
      <c r="E47" s="372"/>
      <c r="F47" s="372"/>
      <c r="G47" s="373"/>
      <c r="H47" s="171"/>
    </row>
    <row r="48" spans="1:8" ht="13.8">
      <c r="A48" s="172"/>
      <c r="B48" s="173"/>
      <c r="C48" s="170"/>
      <c r="D48" s="170"/>
      <c r="E48" s="170"/>
      <c r="F48" s="170"/>
      <c r="G48" s="181"/>
      <c r="H48" s="171"/>
    </row>
    <row r="49" spans="1:8" ht="13.8">
      <c r="A49" s="369" t="s">
        <v>28</v>
      </c>
      <c r="B49" s="370"/>
      <c r="C49" s="371" t="s">
        <v>361</v>
      </c>
      <c r="D49" s="372"/>
      <c r="E49" s="372"/>
      <c r="F49" s="372"/>
      <c r="G49" s="373"/>
      <c r="H49" s="171"/>
    </row>
    <row r="50" spans="1:8" ht="13.8">
      <c r="A50" s="369" t="s">
        <v>225</v>
      </c>
      <c r="B50" s="370"/>
      <c r="C50" s="371" t="s">
        <v>362</v>
      </c>
      <c r="D50" s="372"/>
      <c r="E50" s="372"/>
      <c r="F50" s="372"/>
      <c r="G50" s="373"/>
      <c r="H50" s="180"/>
    </row>
    <row r="51" spans="1:8" ht="13.8">
      <c r="A51" s="369" t="s">
        <v>226</v>
      </c>
      <c r="B51" s="370"/>
      <c r="C51" s="310"/>
      <c r="D51" s="310"/>
      <c r="E51" s="310"/>
      <c r="F51" s="310"/>
      <c r="G51" s="310"/>
      <c r="H51" s="171"/>
    </row>
    <row r="52" spans="1:8" ht="13.8">
      <c r="A52" s="174"/>
      <c r="B52" s="175"/>
      <c r="C52" s="176"/>
      <c r="D52" s="176"/>
      <c r="E52" s="176"/>
      <c r="F52" s="176"/>
      <c r="G52" s="176"/>
      <c r="H52" s="177"/>
    </row>
    <row r="53" spans="1:8" ht="13.8">
      <c r="A53" s="363" t="s">
        <v>227</v>
      </c>
      <c r="B53" s="363"/>
      <c r="C53" s="363"/>
      <c r="D53" s="363"/>
      <c r="E53" s="363"/>
      <c r="F53" s="363"/>
      <c r="G53" s="363"/>
      <c r="H53" s="363"/>
    </row>
    <row r="54" spans="1:8" ht="13.8">
      <c r="A54" s="364" t="s">
        <v>228</v>
      </c>
      <c r="B54" s="365" t="s">
        <v>213</v>
      </c>
      <c r="C54" s="365"/>
      <c r="D54" s="365"/>
      <c r="E54" s="365"/>
      <c r="F54" s="365"/>
      <c r="G54" s="365"/>
      <c r="H54" s="366"/>
    </row>
    <row r="55" spans="1:8" ht="13.8">
      <c r="A55" s="186"/>
      <c r="B55" s="185"/>
      <c r="C55" s="168"/>
      <c r="D55" s="168"/>
      <c r="E55" s="168"/>
      <c r="F55" s="168"/>
      <c r="G55" s="168"/>
      <c r="H55" s="169"/>
    </row>
    <row r="56" spans="1:8" ht="13.8">
      <c r="A56" s="172"/>
      <c r="B56" s="367" t="s">
        <v>31</v>
      </c>
      <c r="C56" s="368"/>
      <c r="D56" s="362" t="s">
        <v>117</v>
      </c>
      <c r="E56" s="362"/>
      <c r="F56" s="362" t="s">
        <v>229</v>
      </c>
      <c r="G56" s="362"/>
      <c r="H56" s="187"/>
    </row>
    <row r="57" spans="1:8" ht="13.8">
      <c r="A57" s="172"/>
      <c r="B57" s="354" t="s">
        <v>444</v>
      </c>
      <c r="C57" s="354"/>
      <c r="D57" s="355">
        <v>46318</v>
      </c>
      <c r="E57" s="356"/>
      <c r="F57" s="356"/>
      <c r="G57" s="356"/>
      <c r="H57" s="187"/>
    </row>
    <row r="58" spans="1:8" ht="13.8">
      <c r="A58" s="172"/>
      <c r="B58" s="203"/>
      <c r="C58" s="203"/>
      <c r="D58" s="203"/>
      <c r="E58" s="183"/>
      <c r="F58" s="183"/>
      <c r="G58" s="183"/>
      <c r="H58" s="187"/>
    </row>
    <row r="59" spans="1:8" ht="13.8">
      <c r="A59" s="172"/>
      <c r="B59" s="362" t="s">
        <v>232</v>
      </c>
      <c r="C59" s="362"/>
      <c r="D59" s="362" t="s">
        <v>117</v>
      </c>
      <c r="E59" s="362"/>
      <c r="F59" s="362" t="s">
        <v>229</v>
      </c>
      <c r="G59" s="362"/>
      <c r="H59" s="187"/>
    </row>
    <row r="60" spans="1:8" ht="13.8">
      <c r="A60" s="172"/>
      <c r="B60" s="357" t="s">
        <v>344</v>
      </c>
      <c r="C60" s="358"/>
      <c r="D60" s="355">
        <v>46318</v>
      </c>
      <c r="E60" s="356"/>
      <c r="F60" s="359"/>
      <c r="G60" s="360"/>
      <c r="H60" s="171"/>
    </row>
    <row r="61" spans="1:8">
      <c r="H61" s="204"/>
    </row>
    <row r="62" spans="1:8" ht="13.8">
      <c r="A62" s="361" t="s">
        <v>230</v>
      </c>
      <c r="B62" s="361" t="s">
        <v>213</v>
      </c>
      <c r="C62" s="361"/>
      <c r="D62" s="361"/>
      <c r="E62" s="361"/>
      <c r="F62" s="361"/>
      <c r="G62" s="361"/>
      <c r="H62" s="361"/>
    </row>
    <row r="63" spans="1:8" ht="13.8">
      <c r="A63" s="172"/>
      <c r="B63" s="173"/>
      <c r="C63" s="170"/>
      <c r="D63" s="170"/>
      <c r="E63" s="170"/>
      <c r="F63" s="170"/>
      <c r="G63" s="170"/>
      <c r="H63" s="171"/>
    </row>
    <row r="64" spans="1:8" ht="13.8">
      <c r="A64" s="172"/>
      <c r="B64" s="362" t="s">
        <v>231</v>
      </c>
      <c r="C64" s="362"/>
      <c r="D64" s="362" t="s">
        <v>117</v>
      </c>
      <c r="E64" s="362"/>
      <c r="F64" s="362" t="s">
        <v>229</v>
      </c>
      <c r="G64" s="362"/>
      <c r="H64" s="187"/>
    </row>
    <row r="65" spans="1:8" ht="13.8">
      <c r="A65" s="172"/>
      <c r="B65" s="354" t="s">
        <v>444</v>
      </c>
      <c r="C65" s="354"/>
      <c r="D65" s="355">
        <v>46318</v>
      </c>
      <c r="E65" s="356"/>
      <c r="F65" s="356"/>
      <c r="G65" s="356"/>
      <c r="H65" s="187"/>
    </row>
    <row r="66" spans="1:8" ht="13.8">
      <c r="A66" s="172"/>
      <c r="B66" s="173"/>
      <c r="C66" s="170"/>
      <c r="D66" s="170"/>
      <c r="E66" s="170"/>
      <c r="F66" s="170"/>
      <c r="G66" s="170"/>
      <c r="H66" s="171"/>
    </row>
    <row r="67" spans="1:8" ht="13.8">
      <c r="A67" s="172"/>
      <c r="H67" s="187"/>
    </row>
    <row r="68" spans="1:8" ht="13.8">
      <c r="A68" s="172"/>
      <c r="H68" s="187"/>
    </row>
    <row r="69" spans="1:8" ht="13.8">
      <c r="A69" s="188"/>
      <c r="B69" s="189"/>
      <c r="C69" s="176"/>
      <c r="D69" s="176"/>
      <c r="E69" s="176"/>
      <c r="F69" s="176"/>
      <c r="G69" s="176"/>
      <c r="H69" s="177"/>
    </row>
    <row r="72" spans="1:8" ht="13.8">
      <c r="C72" s="167"/>
      <c r="D72" s="167"/>
      <c r="E72" s="167"/>
      <c r="F72" s="167"/>
      <c r="G72" s="173"/>
    </row>
    <row r="73" spans="1:8" ht="13.8">
      <c r="C73" s="167"/>
      <c r="D73" s="167"/>
      <c r="E73" s="167"/>
      <c r="F73" s="167"/>
      <c r="G73" s="173"/>
    </row>
    <row r="74" spans="1:8" ht="13.8">
      <c r="C74" s="167"/>
      <c r="D74" s="173"/>
      <c r="E74" s="173"/>
      <c r="F74" s="167"/>
      <c r="G74" s="173"/>
    </row>
    <row r="75" spans="1:8" ht="13.8">
      <c r="C75" s="183"/>
      <c r="D75" s="167"/>
      <c r="E75" s="167"/>
      <c r="F75" s="183"/>
      <c r="G75" s="173"/>
    </row>
  </sheetData>
  <mergeCells count="86">
    <mergeCell ref="A1:H2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H8"/>
    <mergeCell ref="A10:B10"/>
    <mergeCell ref="C10:H10"/>
    <mergeCell ref="A12:B12"/>
    <mergeCell ref="C12:H12"/>
    <mergeCell ref="A14:B14"/>
    <mergeCell ref="C14:H14"/>
    <mergeCell ref="A16:H16"/>
    <mergeCell ref="A17:H17"/>
    <mergeCell ref="A22:H22"/>
    <mergeCell ref="A23:H23"/>
    <mergeCell ref="A24:H24"/>
    <mergeCell ref="A25:H25"/>
    <mergeCell ref="A18:H18"/>
    <mergeCell ref="A19:H19"/>
    <mergeCell ref="A20:H20"/>
    <mergeCell ref="A21:H21"/>
    <mergeCell ref="A31:H31"/>
    <mergeCell ref="A32:H32"/>
    <mergeCell ref="A33:H33"/>
    <mergeCell ref="A34:H34"/>
    <mergeCell ref="A35:H35"/>
    <mergeCell ref="A26:H26"/>
    <mergeCell ref="A27:H27"/>
    <mergeCell ref="A28:H28"/>
    <mergeCell ref="A29:H29"/>
    <mergeCell ref="A30:H30"/>
    <mergeCell ref="A40:H40"/>
    <mergeCell ref="A41:H41"/>
    <mergeCell ref="A42:H42"/>
    <mergeCell ref="A43:H43"/>
    <mergeCell ref="A36:H36"/>
    <mergeCell ref="A37:H37"/>
    <mergeCell ref="A38:H38"/>
    <mergeCell ref="A39:H39"/>
    <mergeCell ref="A45:B45"/>
    <mergeCell ref="C45:G45"/>
    <mergeCell ref="A46:B46"/>
    <mergeCell ref="C46:G46"/>
    <mergeCell ref="A47:B47"/>
    <mergeCell ref="C47:G47"/>
    <mergeCell ref="A49:B49"/>
    <mergeCell ref="C49:G49"/>
    <mergeCell ref="A50:B50"/>
    <mergeCell ref="C50:G50"/>
    <mergeCell ref="A51:B51"/>
    <mergeCell ref="C51:G51"/>
    <mergeCell ref="A53:H53"/>
    <mergeCell ref="A54:H54"/>
    <mergeCell ref="B56:C56"/>
    <mergeCell ref="D56:E56"/>
    <mergeCell ref="F56:G56"/>
    <mergeCell ref="B57:C57"/>
    <mergeCell ref="D57:E57"/>
    <mergeCell ref="F57:G57"/>
    <mergeCell ref="B59:C59"/>
    <mergeCell ref="D59:E59"/>
    <mergeCell ref="F59:G59"/>
    <mergeCell ref="B65:C65"/>
    <mergeCell ref="D65:E65"/>
    <mergeCell ref="F65:G65"/>
    <mergeCell ref="B60:C60"/>
    <mergeCell ref="D60:E60"/>
    <mergeCell ref="F60:G60"/>
    <mergeCell ref="A62:H62"/>
    <mergeCell ref="B64:C64"/>
    <mergeCell ref="D64:E64"/>
    <mergeCell ref="F64:G6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8" sqref="K38"/>
    </sheetView>
  </sheetViews>
  <sheetFormatPr defaultRowHeight="13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117"/>
  <sheetViews>
    <sheetView showGridLines="0" zoomScale="120" zoomScaleNormal="120" workbookViewId="0">
      <selection activeCell="B35" sqref="B35:K38"/>
    </sheetView>
  </sheetViews>
  <sheetFormatPr defaultRowHeight="13.2"/>
  <cols>
    <col min="1" max="1" width="0.109375" customWidth="1"/>
    <col min="3" max="3" width="16.21875" customWidth="1"/>
    <col min="4" max="4" width="10.21875" customWidth="1"/>
    <col min="5" max="5" width="6.88671875" customWidth="1"/>
    <col min="6" max="6" width="11.33203125" customWidth="1"/>
    <col min="8" max="8" width="9.21875" style="16" customWidth="1"/>
    <col min="9" max="9" width="2.77734375" style="16" customWidth="1"/>
    <col min="10" max="10" width="2.77734375" customWidth="1"/>
    <col min="11" max="11" width="47.88671875" customWidth="1"/>
    <col min="12" max="12" width="1.77734375" customWidth="1"/>
  </cols>
  <sheetData>
    <row r="2" spans="1:12" ht="5.25" customHeight="1">
      <c r="A2" s="17"/>
      <c r="B2" s="18"/>
      <c r="C2" s="18"/>
      <c r="D2" s="18"/>
      <c r="E2" s="19"/>
      <c r="F2" s="426"/>
      <c r="G2" s="426"/>
      <c r="H2" s="426"/>
      <c r="I2" s="426"/>
      <c r="J2" s="426"/>
      <c r="K2" s="426"/>
      <c r="L2" s="20"/>
    </row>
    <row r="3" spans="1:12" ht="18.75" customHeight="1">
      <c r="A3" s="21"/>
      <c r="B3" s="22"/>
      <c r="C3" s="22"/>
      <c r="D3" s="22"/>
      <c r="E3" s="23"/>
      <c r="F3" s="427" t="s">
        <v>29</v>
      </c>
      <c r="G3" s="427"/>
      <c r="H3" s="427"/>
      <c r="I3" s="427"/>
      <c r="J3" s="427"/>
      <c r="K3" s="427"/>
      <c r="L3" s="24"/>
    </row>
    <row r="4" spans="1:12" ht="6.75" customHeight="1">
      <c r="A4" s="21"/>
      <c r="B4" s="428"/>
      <c r="C4" s="428"/>
      <c r="D4" s="428"/>
      <c r="E4" s="428"/>
      <c r="F4" s="428"/>
      <c r="G4" s="428"/>
      <c r="H4" s="428"/>
      <c r="I4" s="428"/>
      <c r="J4" s="428"/>
      <c r="K4" s="428"/>
      <c r="L4" s="25"/>
    </row>
    <row r="5" spans="1:12" ht="13.5" customHeight="1">
      <c r="A5" s="26"/>
      <c r="B5" s="405" t="s">
        <v>30</v>
      </c>
      <c r="C5" s="405"/>
      <c r="D5" s="405"/>
      <c r="E5" s="405"/>
      <c r="F5" s="405"/>
      <c r="G5" s="405"/>
      <c r="H5" s="405"/>
      <c r="I5" s="405"/>
      <c r="J5" s="405"/>
      <c r="K5" s="405"/>
      <c r="L5" s="27"/>
    </row>
    <row r="6" spans="1:12" ht="4.3499999999999996" customHeight="1">
      <c r="A6" s="26"/>
      <c r="B6" s="410"/>
      <c r="C6" s="410"/>
      <c r="D6" s="410"/>
      <c r="E6" s="410"/>
      <c r="F6" s="410"/>
      <c r="G6" s="410"/>
      <c r="H6" s="410"/>
      <c r="I6" s="410"/>
      <c r="J6" s="410"/>
      <c r="K6" s="410"/>
      <c r="L6" s="27"/>
    </row>
    <row r="7" spans="1:12" ht="12.75" customHeight="1">
      <c r="A7" s="26"/>
      <c r="B7" s="429" t="s">
        <v>448</v>
      </c>
      <c r="C7" s="429"/>
      <c r="D7" s="429"/>
      <c r="E7" s="429"/>
      <c r="F7" s="429"/>
      <c r="G7" s="429"/>
      <c r="H7" s="429"/>
      <c r="I7" s="410"/>
      <c r="J7" s="29"/>
      <c r="K7" s="30" t="s">
        <v>31</v>
      </c>
      <c r="L7" s="422"/>
    </row>
    <row r="8" spans="1:12" ht="4.3499999999999996" customHeight="1">
      <c r="A8" s="26"/>
      <c r="B8" s="31"/>
      <c r="C8" s="31"/>
      <c r="D8" s="31"/>
      <c r="E8" s="31"/>
      <c r="F8" s="31"/>
      <c r="G8" s="31"/>
      <c r="H8" s="31"/>
      <c r="I8" s="410"/>
      <c r="J8" s="3"/>
      <c r="K8" s="3"/>
      <c r="L8" s="422"/>
    </row>
    <row r="9" spans="1:12" ht="12.75" customHeight="1">
      <c r="A9" s="26"/>
      <c r="B9" s="32" t="s">
        <v>27</v>
      </c>
      <c r="C9" s="33">
        <v>46318</v>
      </c>
      <c r="D9" s="3"/>
      <c r="E9" s="423" t="s">
        <v>32</v>
      </c>
      <c r="F9" s="423"/>
      <c r="G9" s="424" t="s">
        <v>449</v>
      </c>
      <c r="H9" s="424"/>
      <c r="I9" s="410"/>
      <c r="J9" s="29" t="s">
        <v>121</v>
      </c>
      <c r="K9" s="30" t="s">
        <v>33</v>
      </c>
      <c r="L9" s="422"/>
    </row>
    <row r="10" spans="1:12" ht="12.75" customHeight="1">
      <c r="A10" s="34"/>
      <c r="B10" s="35"/>
      <c r="C10" s="36"/>
      <c r="D10" s="3"/>
      <c r="E10" s="37"/>
      <c r="F10" s="37"/>
      <c r="G10" s="38"/>
      <c r="H10" s="38"/>
      <c r="I10" s="28"/>
      <c r="J10" s="28"/>
      <c r="K10" s="39"/>
      <c r="L10" s="422"/>
    </row>
    <row r="11" spans="1:12" s="41" customFormat="1" ht="12.75" customHeight="1">
      <c r="A11" s="40"/>
      <c r="B11" s="344" t="s">
        <v>34</v>
      </c>
      <c r="C11" s="344"/>
      <c r="D11" s="344"/>
      <c r="E11" s="425" t="s">
        <v>35</v>
      </c>
      <c r="F11" s="425"/>
      <c r="G11" s="425"/>
      <c r="H11" s="425"/>
      <c r="I11" s="3"/>
      <c r="J11" s="3"/>
      <c r="K11" s="3"/>
      <c r="L11" s="422"/>
    </row>
    <row r="12" spans="1:12" ht="13.5" customHeight="1">
      <c r="A12" s="26"/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22"/>
    </row>
    <row r="13" spans="1:12" ht="13.5" customHeight="1">
      <c r="A13" s="26"/>
      <c r="B13" s="405" t="s">
        <v>36</v>
      </c>
      <c r="C13" s="405"/>
      <c r="D13" s="405"/>
      <c r="E13" s="405"/>
      <c r="F13" s="405"/>
      <c r="G13" s="405"/>
      <c r="H13" s="405"/>
      <c r="I13" s="405"/>
      <c r="J13" s="405"/>
      <c r="K13" s="405"/>
      <c r="L13" s="27"/>
    </row>
    <row r="14" spans="1:12" ht="4.3499999999999996" customHeight="1">
      <c r="A14" s="26"/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27"/>
    </row>
    <row r="15" spans="1:12" ht="12.75" customHeight="1">
      <c r="A15" s="26"/>
      <c r="B15" s="411" t="s">
        <v>446</v>
      </c>
      <c r="C15" s="411"/>
      <c r="D15" s="411"/>
      <c r="E15" s="411"/>
      <c r="F15" s="411"/>
      <c r="G15" s="411"/>
      <c r="H15" s="411"/>
      <c r="I15" s="411"/>
      <c r="J15" s="411"/>
      <c r="K15" s="411"/>
      <c r="L15" s="27"/>
    </row>
    <row r="16" spans="1:12">
      <c r="A16" s="26"/>
      <c r="B16" s="411"/>
      <c r="C16" s="411"/>
      <c r="D16" s="411"/>
      <c r="E16" s="411"/>
      <c r="F16" s="411"/>
      <c r="G16" s="411"/>
      <c r="H16" s="411"/>
      <c r="I16" s="411"/>
      <c r="J16" s="411"/>
      <c r="K16" s="411"/>
      <c r="L16" s="27"/>
    </row>
    <row r="17" spans="1:12">
      <c r="A17" s="26"/>
      <c r="B17" s="411"/>
      <c r="C17" s="411"/>
      <c r="D17" s="411"/>
      <c r="E17" s="411"/>
      <c r="F17" s="411"/>
      <c r="G17" s="411"/>
      <c r="H17" s="411"/>
      <c r="I17" s="411"/>
      <c r="J17" s="411"/>
      <c r="K17" s="411"/>
      <c r="L17" s="27"/>
    </row>
    <row r="18" spans="1:12">
      <c r="A18" s="26"/>
      <c r="B18" s="411"/>
      <c r="C18" s="411"/>
      <c r="D18" s="411"/>
      <c r="E18" s="411"/>
      <c r="F18" s="411"/>
      <c r="G18" s="411"/>
      <c r="H18" s="411"/>
      <c r="I18" s="411"/>
      <c r="J18" s="411"/>
      <c r="K18" s="411"/>
      <c r="L18" s="27"/>
    </row>
    <row r="19" spans="1:12">
      <c r="A19" s="26"/>
      <c r="B19" s="411"/>
      <c r="C19" s="411"/>
      <c r="D19" s="411"/>
      <c r="E19" s="411"/>
      <c r="F19" s="411"/>
      <c r="G19" s="411"/>
      <c r="H19" s="411"/>
      <c r="I19" s="411"/>
      <c r="J19" s="411"/>
      <c r="K19" s="411"/>
      <c r="L19" s="27"/>
    </row>
    <row r="20" spans="1:12" ht="45" customHeight="1">
      <c r="A20" s="26"/>
      <c r="B20" s="411"/>
      <c r="C20" s="411"/>
      <c r="D20" s="411"/>
      <c r="E20" s="411"/>
      <c r="F20" s="411"/>
      <c r="G20" s="411"/>
      <c r="H20" s="411"/>
      <c r="I20" s="411"/>
      <c r="J20" s="411"/>
      <c r="K20" s="411"/>
      <c r="L20" s="27"/>
    </row>
    <row r="21" spans="1:12">
      <c r="A21" s="26"/>
      <c r="B21" s="410"/>
      <c r="C21" s="410"/>
      <c r="D21" s="410"/>
      <c r="E21" s="410"/>
      <c r="F21" s="410"/>
      <c r="G21" s="410"/>
      <c r="H21" s="410"/>
      <c r="I21" s="410"/>
      <c r="J21" s="410"/>
      <c r="K21" s="410"/>
      <c r="L21" s="27"/>
    </row>
    <row r="22" spans="1:12" ht="13.5" customHeight="1">
      <c r="A22" s="26"/>
      <c r="B22" s="405" t="s">
        <v>258</v>
      </c>
      <c r="C22" s="405"/>
      <c r="D22" s="405"/>
      <c r="E22" s="405"/>
      <c r="F22" s="405"/>
      <c r="G22" s="405"/>
      <c r="H22" s="405"/>
      <c r="I22" s="405"/>
      <c r="J22" s="405"/>
      <c r="K22" s="405"/>
      <c r="L22" s="27"/>
    </row>
    <row r="23" spans="1:12" ht="4.3499999999999996" customHeight="1">
      <c r="A23" s="26"/>
      <c r="B23" s="410"/>
      <c r="C23" s="410"/>
      <c r="D23" s="410"/>
      <c r="E23" s="410"/>
      <c r="F23" s="410"/>
      <c r="G23" s="410"/>
      <c r="H23" s="410"/>
      <c r="I23" s="410"/>
      <c r="J23" s="410"/>
      <c r="K23" s="410"/>
      <c r="L23" s="27"/>
    </row>
    <row r="24" spans="1:12">
      <c r="A24" s="26"/>
      <c r="B24" s="421" t="s">
        <v>259</v>
      </c>
      <c r="C24" s="341"/>
      <c r="D24" s="341"/>
      <c r="E24" s="341"/>
      <c r="F24" s="341"/>
      <c r="G24" s="341"/>
      <c r="H24" s="341"/>
      <c r="I24" s="341"/>
      <c r="J24" s="341"/>
      <c r="K24" s="342"/>
      <c r="L24" s="27"/>
    </row>
    <row r="25" spans="1:12">
      <c r="A25" s="26"/>
      <c r="B25" s="421" t="s">
        <v>260</v>
      </c>
      <c r="C25" s="341"/>
      <c r="D25" s="341"/>
      <c r="E25" s="341"/>
      <c r="F25" s="341"/>
      <c r="G25" s="341"/>
      <c r="H25" s="341"/>
      <c r="I25" s="341"/>
      <c r="J25" s="341"/>
      <c r="K25" s="342"/>
      <c r="L25" s="27"/>
    </row>
    <row r="26" spans="1:12">
      <c r="A26" s="26"/>
      <c r="B26" s="421" t="s">
        <v>262</v>
      </c>
      <c r="C26" s="341"/>
      <c r="D26" s="341"/>
      <c r="E26" s="341"/>
      <c r="F26" s="341"/>
      <c r="G26" s="341"/>
      <c r="H26" s="341"/>
      <c r="I26" s="341"/>
      <c r="J26" s="341"/>
      <c r="K26" s="342"/>
      <c r="L26" s="27"/>
    </row>
    <row r="27" spans="1:12">
      <c r="A27" s="26"/>
      <c r="B27" s="421" t="s">
        <v>265</v>
      </c>
      <c r="C27" s="341"/>
      <c r="D27" s="341"/>
      <c r="E27" s="341"/>
      <c r="F27" s="341"/>
      <c r="G27" s="341"/>
      <c r="H27" s="341"/>
      <c r="I27" s="341"/>
      <c r="J27" s="341"/>
      <c r="K27" s="342"/>
      <c r="L27" s="27"/>
    </row>
    <row r="28" spans="1:12">
      <c r="A28" s="26"/>
      <c r="B28" s="421" t="s">
        <v>261</v>
      </c>
      <c r="C28" s="341"/>
      <c r="D28" s="341"/>
      <c r="E28" s="341"/>
      <c r="F28" s="341"/>
      <c r="G28" s="341"/>
      <c r="H28" s="341"/>
      <c r="I28" s="341"/>
      <c r="J28" s="341"/>
      <c r="K28" s="342"/>
      <c r="L28" s="27"/>
    </row>
    <row r="29" spans="1:12">
      <c r="A29" s="26"/>
      <c r="B29" s="421" t="s">
        <v>264</v>
      </c>
      <c r="C29" s="341"/>
      <c r="D29" s="341"/>
      <c r="E29" s="341"/>
      <c r="F29" s="341"/>
      <c r="G29" s="341"/>
      <c r="H29" s="341"/>
      <c r="I29" s="341"/>
      <c r="J29" s="341"/>
      <c r="K29" s="342"/>
      <c r="L29" s="27"/>
    </row>
    <row r="30" spans="1:12">
      <c r="A30" s="26"/>
      <c r="B30" s="421" t="s">
        <v>263</v>
      </c>
      <c r="C30" s="341"/>
      <c r="D30" s="341"/>
      <c r="E30" s="341"/>
      <c r="F30" s="341"/>
      <c r="G30" s="341"/>
      <c r="H30" s="341"/>
      <c r="I30" s="341"/>
      <c r="J30" s="341"/>
      <c r="K30" s="342"/>
      <c r="L30" s="27"/>
    </row>
    <row r="31" spans="1:12" ht="25.5" customHeight="1">
      <c r="A31" s="26"/>
      <c r="B31" s="421"/>
      <c r="C31" s="341"/>
      <c r="D31" s="341"/>
      <c r="E31" s="341"/>
      <c r="F31" s="341"/>
      <c r="G31" s="341"/>
      <c r="H31" s="341"/>
      <c r="I31" s="341"/>
      <c r="J31" s="341"/>
      <c r="K31" s="342"/>
      <c r="L31" s="27"/>
    </row>
    <row r="32" spans="1:12">
      <c r="A32" s="26"/>
      <c r="B32" s="410"/>
      <c r="C32" s="410"/>
      <c r="D32" s="410"/>
      <c r="E32" s="410"/>
      <c r="F32" s="410"/>
      <c r="G32" s="410"/>
      <c r="H32" s="410"/>
      <c r="I32" s="410"/>
      <c r="J32" s="410"/>
      <c r="K32" s="410"/>
      <c r="L32" s="27"/>
    </row>
    <row r="33" spans="1:12">
      <c r="A33" s="26"/>
      <c r="B33" s="405" t="s">
        <v>37</v>
      </c>
      <c r="C33" s="405"/>
      <c r="D33" s="405"/>
      <c r="E33" s="405"/>
      <c r="F33" s="405"/>
      <c r="G33" s="405"/>
      <c r="H33" s="405"/>
      <c r="I33" s="405"/>
      <c r="J33" s="405"/>
      <c r="K33" s="405"/>
      <c r="L33" s="27"/>
    </row>
    <row r="34" spans="1:12" ht="4.3499999999999996" customHeight="1">
      <c r="A34" s="26"/>
      <c r="B34" s="410"/>
      <c r="C34" s="410"/>
      <c r="D34" s="410"/>
      <c r="E34" s="410"/>
      <c r="F34" s="410"/>
      <c r="G34" s="410"/>
      <c r="H34" s="410"/>
      <c r="I34" s="410"/>
      <c r="J34" s="410"/>
      <c r="K34" s="410"/>
      <c r="L34" s="27"/>
    </row>
    <row r="35" spans="1:12" ht="12.75" customHeight="1">
      <c r="A35" s="26"/>
      <c r="B35" s="411" t="s">
        <v>450</v>
      </c>
      <c r="C35" s="411"/>
      <c r="D35" s="411"/>
      <c r="E35" s="411"/>
      <c r="F35" s="411"/>
      <c r="G35" s="411"/>
      <c r="H35" s="411"/>
      <c r="I35" s="411"/>
      <c r="J35" s="411"/>
      <c r="K35" s="411"/>
      <c r="L35" s="27"/>
    </row>
    <row r="36" spans="1:12">
      <c r="A36" s="26"/>
      <c r="B36" s="411"/>
      <c r="C36" s="411"/>
      <c r="D36" s="411"/>
      <c r="E36" s="411"/>
      <c r="F36" s="411"/>
      <c r="G36" s="411"/>
      <c r="H36" s="411"/>
      <c r="I36" s="411"/>
      <c r="J36" s="411"/>
      <c r="K36" s="411"/>
      <c r="L36" s="27"/>
    </row>
    <row r="37" spans="1:12">
      <c r="A37" s="26"/>
      <c r="B37" s="411"/>
      <c r="C37" s="411"/>
      <c r="D37" s="411"/>
      <c r="E37" s="411"/>
      <c r="F37" s="411"/>
      <c r="G37" s="411"/>
      <c r="H37" s="411"/>
      <c r="I37" s="411"/>
      <c r="J37" s="411"/>
      <c r="K37" s="411"/>
      <c r="L37" s="27"/>
    </row>
    <row r="38" spans="1:12" ht="286.05" customHeight="1">
      <c r="A38" s="26"/>
      <c r="B38" s="411"/>
      <c r="C38" s="411"/>
      <c r="D38" s="411"/>
      <c r="E38" s="411"/>
      <c r="F38" s="411"/>
      <c r="G38" s="411"/>
      <c r="H38" s="411"/>
      <c r="I38" s="411"/>
      <c r="J38" s="411"/>
      <c r="K38" s="411"/>
      <c r="L38" s="27"/>
    </row>
    <row r="39" spans="1:12">
      <c r="A39" s="26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27"/>
    </row>
    <row r="40" spans="1:12">
      <c r="A40" s="26"/>
      <c r="B40" s="405" t="s">
        <v>38</v>
      </c>
      <c r="C40" s="405"/>
      <c r="D40" s="405"/>
      <c r="E40" s="405"/>
      <c r="F40" s="405"/>
      <c r="G40" s="405"/>
      <c r="H40" s="405"/>
      <c r="I40" s="405"/>
      <c r="J40" s="405"/>
      <c r="K40" s="405"/>
      <c r="L40" s="27"/>
    </row>
    <row r="41" spans="1:12" ht="4.3499999999999996" customHeight="1">
      <c r="A41" s="26"/>
      <c r="B41" s="410"/>
      <c r="C41" s="410"/>
      <c r="D41" s="410"/>
      <c r="E41" s="410"/>
      <c r="F41" s="410"/>
      <c r="G41" s="410"/>
      <c r="H41" s="410"/>
      <c r="I41" s="410"/>
      <c r="J41" s="410"/>
      <c r="K41" s="410"/>
      <c r="L41" s="27"/>
    </row>
    <row r="42" spans="1:12" ht="36.75" customHeight="1">
      <c r="A42" s="26"/>
      <c r="B42" s="411" t="s">
        <v>447</v>
      </c>
      <c r="C42" s="411"/>
      <c r="D42" s="411"/>
      <c r="E42" s="411"/>
      <c r="F42" s="411"/>
      <c r="G42" s="411"/>
      <c r="H42" s="411"/>
      <c r="I42" s="411"/>
      <c r="J42" s="411"/>
      <c r="K42" s="411"/>
      <c r="L42" s="27"/>
    </row>
    <row r="43" spans="1:12" ht="36.75" customHeight="1">
      <c r="A43" s="26"/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27"/>
    </row>
    <row r="44" spans="1:12" ht="36.75" customHeight="1">
      <c r="A44" s="26"/>
      <c r="B44" s="411"/>
      <c r="C44" s="411"/>
      <c r="D44" s="411"/>
      <c r="E44" s="411"/>
      <c r="F44" s="411"/>
      <c r="G44" s="411"/>
      <c r="H44" s="411"/>
      <c r="I44" s="411"/>
      <c r="J44" s="411"/>
      <c r="K44" s="411"/>
      <c r="L44" s="27"/>
    </row>
    <row r="45" spans="1:12" ht="36.75" customHeight="1">
      <c r="A45" s="26"/>
      <c r="B45" s="411"/>
      <c r="C45" s="411"/>
      <c r="D45" s="411"/>
      <c r="E45" s="411"/>
      <c r="F45" s="411"/>
      <c r="G45" s="411"/>
      <c r="H45" s="411"/>
      <c r="I45" s="411"/>
      <c r="J45" s="411"/>
      <c r="K45" s="411"/>
      <c r="L45" s="27"/>
    </row>
    <row r="46" spans="1:12" ht="39.75" customHeight="1">
      <c r="A46" s="26"/>
      <c r="B46" s="411"/>
      <c r="C46" s="411"/>
      <c r="D46" s="411"/>
      <c r="E46" s="411"/>
      <c r="F46" s="411"/>
      <c r="G46" s="411"/>
      <c r="H46" s="411"/>
      <c r="I46" s="411"/>
      <c r="J46" s="411"/>
      <c r="K46" s="411"/>
      <c r="L46" s="27"/>
    </row>
    <row r="47" spans="1:12">
      <c r="A47" s="26"/>
      <c r="B47" s="404"/>
      <c r="C47" s="404"/>
      <c r="D47" s="404"/>
      <c r="E47" s="404"/>
      <c r="F47" s="404"/>
      <c r="G47" s="404"/>
      <c r="H47" s="404"/>
      <c r="I47" s="404"/>
      <c r="J47" s="404"/>
      <c r="K47" s="404"/>
      <c r="L47" s="27"/>
    </row>
    <row r="48" spans="1:12">
      <c r="A48" s="26"/>
      <c r="B48" s="405" t="s">
        <v>39</v>
      </c>
      <c r="C48" s="405"/>
      <c r="D48" s="405"/>
      <c r="E48" s="405"/>
      <c r="F48" s="405"/>
      <c r="G48" s="405"/>
      <c r="H48" s="405"/>
      <c r="I48" s="405"/>
      <c r="J48" s="405"/>
      <c r="K48" s="405"/>
      <c r="L48" s="27"/>
    </row>
    <row r="49" spans="1:12" ht="4.3499999999999996" customHeight="1">
      <c r="A49" s="26"/>
      <c r="B49" s="410"/>
      <c r="C49" s="410"/>
      <c r="D49" s="410"/>
      <c r="E49" s="410"/>
      <c r="F49" s="410"/>
      <c r="G49" s="410"/>
      <c r="H49" s="410"/>
      <c r="I49" s="410"/>
      <c r="J49" s="410"/>
      <c r="K49" s="410"/>
      <c r="L49" s="27"/>
    </row>
    <row r="50" spans="1:12" ht="13.5" customHeight="1">
      <c r="A50" s="26"/>
      <c r="B50" s="418" t="s">
        <v>443</v>
      </c>
      <c r="C50" s="418"/>
      <c r="D50" s="418"/>
      <c r="E50" s="418"/>
      <c r="F50" s="418"/>
      <c r="G50" s="418"/>
      <c r="H50" s="418"/>
      <c r="I50" s="418"/>
      <c r="J50" s="418"/>
      <c r="K50" s="418"/>
      <c r="L50" s="27"/>
    </row>
    <row r="51" spans="1:12" ht="13.5" customHeight="1">
      <c r="A51" s="26"/>
      <c r="B51" s="419"/>
      <c r="C51" s="419"/>
      <c r="D51" s="419"/>
      <c r="E51" s="419"/>
      <c r="F51" s="419"/>
      <c r="G51" s="419"/>
      <c r="H51" s="419"/>
      <c r="I51" s="419"/>
      <c r="J51" s="419"/>
      <c r="K51" s="419"/>
      <c r="L51" s="27"/>
    </row>
    <row r="52" spans="1:12" ht="13.5" customHeight="1">
      <c r="A52" s="26"/>
      <c r="B52" s="419"/>
      <c r="C52" s="419"/>
      <c r="D52" s="419"/>
      <c r="E52" s="419"/>
      <c r="F52" s="419"/>
      <c r="G52" s="419"/>
      <c r="H52" s="419"/>
      <c r="I52" s="419"/>
      <c r="J52" s="419"/>
      <c r="K52" s="419"/>
      <c r="L52" s="27"/>
    </row>
    <row r="53" spans="1:12" ht="13.5" customHeight="1">
      <c r="A53" s="26"/>
      <c r="B53" s="419"/>
      <c r="C53" s="419"/>
      <c r="D53" s="419"/>
      <c r="E53" s="419"/>
      <c r="F53" s="419"/>
      <c r="G53" s="419"/>
      <c r="H53" s="419"/>
      <c r="I53" s="419"/>
      <c r="J53" s="419"/>
      <c r="K53" s="419"/>
      <c r="L53" s="27"/>
    </row>
    <row r="54" spans="1:12" ht="13.5" customHeight="1">
      <c r="A54" s="26"/>
      <c r="B54" s="419"/>
      <c r="C54" s="419"/>
      <c r="D54" s="419"/>
      <c r="E54" s="419"/>
      <c r="F54" s="419"/>
      <c r="G54" s="419"/>
      <c r="H54" s="419"/>
      <c r="I54" s="419"/>
      <c r="J54" s="419"/>
      <c r="K54" s="419"/>
      <c r="L54" s="27"/>
    </row>
    <row r="55" spans="1:12" ht="108.45" customHeight="1" thickBot="1">
      <c r="A55" s="26"/>
      <c r="B55" s="420"/>
      <c r="C55" s="420"/>
      <c r="D55" s="420"/>
      <c r="E55" s="420"/>
      <c r="F55" s="420"/>
      <c r="G55" s="420"/>
      <c r="H55" s="420"/>
      <c r="I55" s="420"/>
      <c r="J55" s="420"/>
      <c r="K55" s="420"/>
      <c r="L55" s="27"/>
    </row>
    <row r="56" spans="1:12" ht="13.8" thickBot="1">
      <c r="A56" s="26"/>
      <c r="B56" s="405" t="s">
        <v>40</v>
      </c>
      <c r="C56" s="405"/>
      <c r="D56" s="405"/>
      <c r="E56" s="405"/>
      <c r="F56" s="405"/>
      <c r="G56" s="405"/>
      <c r="H56" s="405"/>
      <c r="I56" s="405"/>
      <c r="J56" s="405"/>
      <c r="K56" s="405"/>
      <c r="L56" s="27"/>
    </row>
    <row r="57" spans="1:12" ht="4.3499999999999996" customHeight="1">
      <c r="A57" s="26"/>
      <c r="B57" s="410"/>
      <c r="C57" s="410"/>
      <c r="D57" s="410"/>
      <c r="E57" s="410"/>
      <c r="F57" s="410"/>
      <c r="G57" s="410"/>
      <c r="H57" s="410"/>
      <c r="I57" s="410"/>
      <c r="J57" s="410"/>
      <c r="K57" s="410"/>
      <c r="L57" s="27"/>
    </row>
    <row r="58" spans="1:12">
      <c r="A58" s="26"/>
      <c r="B58" s="411" t="s">
        <v>497</v>
      </c>
      <c r="C58" s="414"/>
      <c r="D58" s="414"/>
      <c r="E58" s="414"/>
      <c r="F58" s="414"/>
      <c r="G58" s="414"/>
      <c r="H58" s="414"/>
      <c r="I58" s="414"/>
      <c r="J58" s="414"/>
      <c r="K58" s="414"/>
      <c r="L58" s="27"/>
    </row>
    <row r="59" spans="1:12">
      <c r="A59" s="26"/>
      <c r="B59" s="412" t="s">
        <v>498</v>
      </c>
      <c r="C59" s="413"/>
      <c r="D59" s="413"/>
      <c r="E59" s="413"/>
      <c r="F59" s="413"/>
      <c r="G59" s="413"/>
      <c r="H59" s="413"/>
      <c r="I59" s="413"/>
      <c r="J59" s="413"/>
      <c r="K59" s="413"/>
      <c r="L59" s="27"/>
    </row>
    <row r="60" spans="1:12">
      <c r="A60" s="26"/>
      <c r="B60" s="411" t="s">
        <v>499</v>
      </c>
      <c r="C60" s="414"/>
      <c r="D60" s="414"/>
      <c r="E60" s="414"/>
      <c r="F60" s="414"/>
      <c r="G60" s="414"/>
      <c r="H60" s="414"/>
      <c r="I60" s="414"/>
      <c r="J60" s="414"/>
      <c r="K60" s="414"/>
      <c r="L60" s="27"/>
    </row>
    <row r="61" spans="1:12">
      <c r="A61" s="26"/>
      <c r="B61" s="412" t="s">
        <v>500</v>
      </c>
      <c r="C61" s="413"/>
      <c r="D61" s="413"/>
      <c r="E61" s="413"/>
      <c r="F61" s="413"/>
      <c r="G61" s="413"/>
      <c r="H61" s="413"/>
      <c r="I61" s="413"/>
      <c r="J61" s="413"/>
      <c r="K61" s="413"/>
      <c r="L61" s="27"/>
    </row>
    <row r="62" spans="1:12">
      <c r="A62" s="26"/>
      <c r="B62" s="415" t="s">
        <v>501</v>
      </c>
      <c r="C62" s="416"/>
      <c r="D62" s="416"/>
      <c r="E62" s="416"/>
      <c r="F62" s="416"/>
      <c r="G62" s="416"/>
      <c r="H62" s="416"/>
      <c r="I62" s="416"/>
      <c r="J62" s="416"/>
      <c r="K62" s="417"/>
      <c r="L62" s="27"/>
    </row>
    <row r="63" spans="1:12">
      <c r="A63" s="26"/>
      <c r="B63" s="412" t="s">
        <v>502</v>
      </c>
      <c r="C63" s="413"/>
      <c r="D63" s="413"/>
      <c r="E63" s="413"/>
      <c r="F63" s="413"/>
      <c r="G63" s="413"/>
      <c r="H63" s="413"/>
      <c r="I63" s="413"/>
      <c r="J63" s="413"/>
      <c r="K63" s="413"/>
      <c r="L63" s="27"/>
    </row>
    <row r="64" spans="1:12">
      <c r="A64" s="26"/>
      <c r="B64" s="411" t="s">
        <v>503</v>
      </c>
      <c r="C64" s="411"/>
      <c r="D64" s="411"/>
      <c r="E64" s="411"/>
      <c r="F64" s="411"/>
      <c r="G64" s="411"/>
      <c r="H64" s="411"/>
      <c r="I64" s="411"/>
      <c r="J64" s="411"/>
      <c r="K64" s="411"/>
      <c r="L64" s="27"/>
    </row>
    <row r="65" spans="1:12">
      <c r="A65" s="26"/>
      <c r="B65" s="412" t="s">
        <v>504</v>
      </c>
      <c r="C65" s="413"/>
      <c r="D65" s="413"/>
      <c r="E65" s="413"/>
      <c r="F65" s="413"/>
      <c r="G65" s="413"/>
      <c r="H65" s="413"/>
      <c r="I65" s="413"/>
      <c r="J65" s="413"/>
      <c r="K65" s="413"/>
      <c r="L65" s="27"/>
    </row>
    <row r="66" spans="1:12">
      <c r="A66" s="26"/>
      <c r="B66" s="411" t="s">
        <v>505</v>
      </c>
      <c r="C66" s="411"/>
      <c r="D66" s="411"/>
      <c r="E66" s="411"/>
      <c r="F66" s="411"/>
      <c r="G66" s="411"/>
      <c r="H66" s="411"/>
      <c r="I66" s="411"/>
      <c r="J66" s="411"/>
      <c r="K66" s="411"/>
      <c r="L66" s="27"/>
    </row>
    <row r="67" spans="1:12">
      <c r="A67" s="26"/>
      <c r="B67" s="412" t="s">
        <v>506</v>
      </c>
      <c r="C67" s="413"/>
      <c r="D67" s="413"/>
      <c r="E67" s="413"/>
      <c r="F67" s="413"/>
      <c r="G67" s="413"/>
      <c r="H67" s="413"/>
      <c r="I67" s="413"/>
      <c r="J67" s="413"/>
      <c r="K67" s="413"/>
      <c r="L67" s="27"/>
    </row>
    <row r="68" spans="1:12">
      <c r="A68" s="26"/>
      <c r="B68" s="415" t="s">
        <v>507</v>
      </c>
      <c r="C68" s="416"/>
      <c r="D68" s="416"/>
      <c r="E68" s="416"/>
      <c r="F68" s="416"/>
      <c r="G68" s="416"/>
      <c r="H68" s="416"/>
      <c r="I68" s="416"/>
      <c r="J68" s="416"/>
      <c r="K68" s="417"/>
      <c r="L68" s="27"/>
    </row>
    <row r="69" spans="1:12">
      <c r="A69" s="26"/>
      <c r="B69" s="412" t="s">
        <v>508</v>
      </c>
      <c r="C69" s="413"/>
      <c r="D69" s="413"/>
      <c r="E69" s="413"/>
      <c r="F69" s="413"/>
      <c r="G69" s="413"/>
      <c r="H69" s="413"/>
      <c r="I69" s="413"/>
      <c r="J69" s="413"/>
      <c r="K69" s="413"/>
      <c r="L69" s="27"/>
    </row>
    <row r="70" spans="1:12">
      <c r="A70" s="26"/>
      <c r="B70" s="411" t="s">
        <v>509</v>
      </c>
      <c r="C70" s="414"/>
      <c r="D70" s="414"/>
      <c r="E70" s="414"/>
      <c r="F70" s="414"/>
      <c r="G70" s="414"/>
      <c r="H70" s="414"/>
      <c r="I70" s="414"/>
      <c r="J70" s="414"/>
      <c r="K70" s="414"/>
      <c r="L70" s="27"/>
    </row>
    <row r="71" spans="1:12">
      <c r="A71" s="26"/>
      <c r="B71" s="412" t="s">
        <v>510</v>
      </c>
      <c r="C71" s="413"/>
      <c r="D71" s="413"/>
      <c r="E71" s="413"/>
      <c r="F71" s="413"/>
      <c r="G71" s="413"/>
      <c r="H71" s="413"/>
      <c r="I71" s="413"/>
      <c r="J71" s="413"/>
      <c r="K71" s="413"/>
      <c r="L71" s="27"/>
    </row>
    <row r="72" spans="1:12">
      <c r="A72" s="26"/>
      <c r="B72" s="411" t="s">
        <v>511</v>
      </c>
      <c r="C72" s="414"/>
      <c r="D72" s="414"/>
      <c r="E72" s="414"/>
      <c r="F72" s="414"/>
      <c r="G72" s="414"/>
      <c r="H72" s="414"/>
      <c r="I72" s="414"/>
      <c r="J72" s="414"/>
      <c r="K72" s="414"/>
      <c r="L72" s="27"/>
    </row>
    <row r="73" spans="1:12">
      <c r="A73" s="26"/>
      <c r="B73" s="410"/>
      <c r="C73" s="410"/>
      <c r="D73" s="410"/>
      <c r="E73" s="410"/>
      <c r="F73" s="410"/>
      <c r="G73" s="410"/>
      <c r="H73" s="410"/>
      <c r="I73" s="410"/>
      <c r="J73" s="410"/>
      <c r="K73" s="410"/>
      <c r="L73" s="27"/>
    </row>
    <row r="74" spans="1:12">
      <c r="A74" s="26"/>
      <c r="B74" s="408"/>
      <c r="C74" s="408"/>
      <c r="D74" s="408"/>
      <c r="E74" s="408"/>
      <c r="F74" s="408"/>
      <c r="G74" s="408"/>
      <c r="H74" s="408"/>
      <c r="I74" s="408"/>
      <c r="J74" s="408"/>
      <c r="K74" s="408"/>
      <c r="L74" s="27"/>
    </row>
    <row r="75" spans="1:12">
      <c r="A75" s="26"/>
      <c r="B75" s="409"/>
      <c r="C75" s="409"/>
      <c r="D75" s="409"/>
      <c r="E75" s="409"/>
      <c r="F75" s="409"/>
      <c r="G75" s="409"/>
      <c r="H75" s="409"/>
      <c r="I75" s="409"/>
      <c r="J75" s="409"/>
      <c r="K75" s="409"/>
      <c r="L75" s="27"/>
    </row>
    <row r="76" spans="1:12" ht="12.75" customHeight="1">
      <c r="A76" s="26"/>
      <c r="B76" s="405" t="s">
        <v>41</v>
      </c>
      <c r="C76" s="405"/>
      <c r="D76" s="405"/>
      <c r="E76" s="405"/>
      <c r="F76" s="405"/>
      <c r="G76" s="405"/>
      <c r="H76" s="405"/>
      <c r="I76" s="405"/>
      <c r="J76" s="405"/>
      <c r="K76" s="405"/>
      <c r="L76" s="27"/>
    </row>
    <row r="77" spans="1:12" ht="4.3499999999999996" customHeight="1">
      <c r="A77" s="26"/>
      <c r="B77" s="410"/>
      <c r="C77" s="410"/>
      <c r="D77" s="410"/>
      <c r="E77" s="410"/>
      <c r="F77" s="410"/>
      <c r="G77" s="410"/>
      <c r="H77" s="410"/>
      <c r="I77" s="410"/>
      <c r="J77" s="410"/>
      <c r="K77" s="410"/>
      <c r="L77" s="27"/>
    </row>
    <row r="78" spans="1:12" ht="43.95" customHeight="1">
      <c r="A78" s="26"/>
      <c r="B78" s="411" t="s">
        <v>496</v>
      </c>
      <c r="C78" s="411"/>
      <c r="D78" s="411"/>
      <c r="E78" s="411"/>
      <c r="F78" s="411"/>
      <c r="G78" s="411"/>
      <c r="H78" s="411"/>
      <c r="I78" s="411"/>
      <c r="J78" s="411"/>
      <c r="K78" s="411"/>
      <c r="L78" s="27"/>
    </row>
    <row r="79" spans="1:12" ht="43.95" customHeight="1">
      <c r="A79" s="26"/>
      <c r="B79" s="411"/>
      <c r="C79" s="411"/>
      <c r="D79" s="411"/>
      <c r="E79" s="411"/>
      <c r="F79" s="411"/>
      <c r="G79" s="411"/>
      <c r="H79" s="411"/>
      <c r="I79" s="411"/>
      <c r="J79" s="411"/>
      <c r="K79" s="411"/>
      <c r="L79" s="27"/>
    </row>
    <row r="80" spans="1:12" ht="43.95" customHeight="1">
      <c r="A80" s="26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27"/>
    </row>
    <row r="81" spans="1:12" ht="12.75" customHeight="1">
      <c r="A81" s="26"/>
      <c r="B81" s="404"/>
      <c r="C81" s="404"/>
      <c r="D81" s="404"/>
      <c r="E81" s="404"/>
      <c r="F81" s="404"/>
      <c r="G81" s="404"/>
      <c r="H81" s="404"/>
      <c r="I81" s="404"/>
      <c r="J81" s="404"/>
      <c r="K81" s="404"/>
      <c r="L81" s="27"/>
    </row>
    <row r="82" spans="1:12">
      <c r="A82" s="26"/>
      <c r="B82" s="405" t="s">
        <v>42</v>
      </c>
      <c r="C82" s="405"/>
      <c r="D82" s="405"/>
      <c r="E82" s="405"/>
      <c r="F82" s="405"/>
      <c r="G82" s="405"/>
      <c r="H82" s="405"/>
      <c r="I82" s="405"/>
      <c r="J82" s="405"/>
      <c r="K82" s="405"/>
      <c r="L82" s="27"/>
    </row>
    <row r="83" spans="1:12" ht="4.3499999999999996" customHeight="1">
      <c r="A83" s="26"/>
      <c r="B83" s="406"/>
      <c r="C83" s="406"/>
      <c r="D83" s="406"/>
      <c r="E83" s="406"/>
      <c r="F83" s="406"/>
      <c r="G83" s="406"/>
      <c r="H83" s="406"/>
      <c r="I83" s="406"/>
      <c r="J83" s="406"/>
      <c r="K83" s="406"/>
      <c r="L83" s="27"/>
    </row>
    <row r="84" spans="1:12">
      <c r="A84" s="26"/>
      <c r="B84" s="407"/>
      <c r="C84" s="407"/>
      <c r="D84" s="407"/>
      <c r="E84" s="407"/>
      <c r="F84" s="407"/>
      <c r="G84" s="407"/>
      <c r="H84" s="407"/>
      <c r="I84" s="407"/>
      <c r="J84" s="407"/>
      <c r="K84" s="407"/>
      <c r="L84" s="27"/>
    </row>
    <row r="85" spans="1:12">
      <c r="A85" s="26"/>
      <c r="B85" s="407"/>
      <c r="C85" s="407"/>
      <c r="D85" s="407"/>
      <c r="E85" s="407"/>
      <c r="F85" s="407"/>
      <c r="G85" s="407"/>
      <c r="H85" s="407"/>
      <c r="I85" s="407"/>
      <c r="J85" s="407"/>
      <c r="K85" s="407"/>
      <c r="L85" s="27"/>
    </row>
    <row r="86" spans="1:12">
      <c r="A86" s="26"/>
      <c r="B86" s="407"/>
      <c r="C86" s="407"/>
      <c r="D86" s="407"/>
      <c r="E86" s="407"/>
      <c r="F86" s="407"/>
      <c r="G86" s="407"/>
      <c r="H86" s="407"/>
      <c r="I86" s="407"/>
      <c r="J86" s="407"/>
      <c r="K86" s="407"/>
      <c r="L86" s="27"/>
    </row>
    <row r="87" spans="1:12">
      <c r="A87" s="26"/>
      <c r="B87" s="407"/>
      <c r="C87" s="407"/>
      <c r="D87" s="407"/>
      <c r="E87" s="407"/>
      <c r="F87" s="407"/>
      <c r="G87" s="407"/>
      <c r="H87" s="407"/>
      <c r="I87" s="407"/>
      <c r="J87" s="407"/>
      <c r="K87" s="407"/>
      <c r="L87" s="27"/>
    </row>
    <row r="88" spans="1:12">
      <c r="A88" s="26"/>
      <c r="B88" s="407"/>
      <c r="C88" s="407"/>
      <c r="D88" s="407"/>
      <c r="E88" s="407"/>
      <c r="F88" s="407"/>
      <c r="G88" s="407"/>
      <c r="H88" s="407"/>
      <c r="I88" s="407"/>
      <c r="J88" s="407"/>
      <c r="K88" s="407"/>
      <c r="L88" s="27"/>
    </row>
    <row r="89" spans="1:12">
      <c r="A89" s="26"/>
      <c r="B89" s="407"/>
      <c r="C89" s="407"/>
      <c r="D89" s="407"/>
      <c r="E89" s="407"/>
      <c r="F89" s="407"/>
      <c r="G89" s="407"/>
      <c r="H89" s="407"/>
      <c r="I89" s="407"/>
      <c r="J89" s="407"/>
      <c r="K89" s="407"/>
      <c r="L89" s="27"/>
    </row>
    <row r="90" spans="1:12">
      <c r="A90" s="26"/>
      <c r="B90" s="407"/>
      <c r="C90" s="407"/>
      <c r="D90" s="407"/>
      <c r="E90" s="407"/>
      <c r="F90" s="407"/>
      <c r="G90" s="407"/>
      <c r="H90" s="407"/>
      <c r="I90" s="407"/>
      <c r="J90" s="407"/>
      <c r="K90" s="407"/>
      <c r="L90" s="27"/>
    </row>
    <row r="91" spans="1:12">
      <c r="A91" s="26"/>
      <c r="B91" s="407"/>
      <c r="C91" s="407"/>
      <c r="D91" s="407"/>
      <c r="E91" s="407"/>
      <c r="F91" s="407"/>
      <c r="G91" s="407"/>
      <c r="H91" s="407"/>
      <c r="I91" s="407"/>
      <c r="J91" s="407"/>
      <c r="K91" s="407"/>
      <c r="L91" s="27"/>
    </row>
    <row r="92" spans="1:12">
      <c r="A92" s="26"/>
      <c r="B92" s="407"/>
      <c r="C92" s="407"/>
      <c r="D92" s="407"/>
      <c r="E92" s="407"/>
      <c r="F92" s="407"/>
      <c r="G92" s="407"/>
      <c r="H92" s="407"/>
      <c r="I92" s="407"/>
      <c r="J92" s="407"/>
      <c r="K92" s="407"/>
      <c r="L92" s="27"/>
    </row>
    <row r="93" spans="1:12">
      <c r="A93" s="26"/>
      <c r="B93" s="407"/>
      <c r="C93" s="407"/>
      <c r="D93" s="407"/>
      <c r="E93" s="407"/>
      <c r="F93" s="407"/>
      <c r="G93" s="407"/>
      <c r="H93" s="407"/>
      <c r="I93" s="407"/>
      <c r="J93" s="407"/>
      <c r="K93" s="407"/>
      <c r="L93" s="27"/>
    </row>
    <row r="94" spans="1:12">
      <c r="A94" s="26"/>
      <c r="B94" s="407"/>
      <c r="C94" s="407"/>
      <c r="D94" s="407"/>
      <c r="E94" s="407"/>
      <c r="F94" s="407"/>
      <c r="G94" s="407"/>
      <c r="H94" s="407"/>
      <c r="I94" s="407"/>
      <c r="J94" s="407"/>
      <c r="K94" s="407"/>
      <c r="L94" s="27"/>
    </row>
    <row r="95" spans="1:12">
      <c r="A95" s="26"/>
      <c r="B95" s="407"/>
      <c r="C95" s="407"/>
      <c r="D95" s="407"/>
      <c r="E95" s="407"/>
      <c r="F95" s="407"/>
      <c r="G95" s="407"/>
      <c r="H95" s="407"/>
      <c r="I95" s="407"/>
      <c r="J95" s="407"/>
      <c r="K95" s="407"/>
      <c r="L95" s="27"/>
    </row>
    <row r="96" spans="1:12">
      <c r="A96" s="26"/>
      <c r="B96" s="407"/>
      <c r="C96" s="407"/>
      <c r="D96" s="407"/>
      <c r="E96" s="407"/>
      <c r="F96" s="407"/>
      <c r="G96" s="407"/>
      <c r="H96" s="407"/>
      <c r="I96" s="407"/>
      <c r="J96" s="407"/>
      <c r="K96" s="407"/>
      <c r="L96" s="27"/>
    </row>
    <row r="97" spans="1:12">
      <c r="A97" s="26"/>
      <c r="B97" s="407"/>
      <c r="C97" s="407"/>
      <c r="D97" s="407"/>
      <c r="E97" s="407"/>
      <c r="F97" s="407"/>
      <c r="G97" s="407"/>
      <c r="H97" s="407"/>
      <c r="I97" s="407"/>
      <c r="J97" s="407"/>
      <c r="K97" s="407"/>
      <c r="L97" s="27"/>
    </row>
    <row r="98" spans="1:12">
      <c r="A98" s="26"/>
      <c r="B98" s="407"/>
      <c r="C98" s="407"/>
      <c r="D98" s="407"/>
      <c r="E98" s="407"/>
      <c r="F98" s="407"/>
      <c r="G98" s="407"/>
      <c r="H98" s="407"/>
      <c r="I98" s="407"/>
      <c r="J98" s="407"/>
      <c r="K98" s="407"/>
      <c r="L98" s="27"/>
    </row>
    <row r="99" spans="1:12">
      <c r="A99" s="26"/>
      <c r="B99" s="407"/>
      <c r="C99" s="407"/>
      <c r="D99" s="407"/>
      <c r="E99" s="407"/>
      <c r="F99" s="407"/>
      <c r="G99" s="407"/>
      <c r="H99" s="407"/>
      <c r="I99" s="407"/>
      <c r="J99" s="407"/>
      <c r="K99" s="407"/>
      <c r="L99" s="27"/>
    </row>
    <row r="100" spans="1:12">
      <c r="A100" s="26"/>
      <c r="B100" s="407"/>
      <c r="C100" s="407"/>
      <c r="D100" s="407"/>
      <c r="E100" s="407"/>
      <c r="F100" s="407"/>
      <c r="G100" s="407"/>
      <c r="H100" s="407"/>
      <c r="I100" s="407"/>
      <c r="J100" s="407"/>
      <c r="K100" s="407"/>
      <c r="L100" s="27"/>
    </row>
    <row r="101" spans="1:12">
      <c r="A101" s="26"/>
      <c r="B101" s="407"/>
      <c r="C101" s="407"/>
      <c r="D101" s="407"/>
      <c r="E101" s="407"/>
      <c r="F101" s="407"/>
      <c r="G101" s="407"/>
      <c r="H101" s="407"/>
      <c r="I101" s="407"/>
      <c r="J101" s="407"/>
      <c r="K101" s="407"/>
      <c r="L101" s="27"/>
    </row>
    <row r="102" spans="1:12">
      <c r="A102" s="26"/>
      <c r="B102" s="407"/>
      <c r="C102" s="407"/>
      <c r="D102" s="407"/>
      <c r="E102" s="407"/>
      <c r="F102" s="407"/>
      <c r="G102" s="407"/>
      <c r="H102" s="407"/>
      <c r="I102" s="407"/>
      <c r="J102" s="407"/>
      <c r="K102" s="407"/>
      <c r="L102" s="27"/>
    </row>
    <row r="103" spans="1:12">
      <c r="A103" s="26"/>
      <c r="B103" s="407"/>
      <c r="C103" s="407"/>
      <c r="D103" s="407"/>
      <c r="E103" s="407"/>
      <c r="F103" s="407"/>
      <c r="G103" s="407"/>
      <c r="H103" s="407"/>
      <c r="I103" s="407"/>
      <c r="J103" s="407"/>
      <c r="K103" s="407"/>
      <c r="L103" s="27"/>
    </row>
    <row r="104" spans="1:12">
      <c r="A104" s="26"/>
      <c r="B104" s="407"/>
      <c r="C104" s="407"/>
      <c r="D104" s="407"/>
      <c r="E104" s="407"/>
      <c r="F104" s="407"/>
      <c r="G104" s="407"/>
      <c r="H104" s="407"/>
      <c r="I104" s="407"/>
      <c r="J104" s="407"/>
      <c r="K104" s="407"/>
      <c r="L104" s="27"/>
    </row>
    <row r="105" spans="1:12">
      <c r="A105" s="26"/>
      <c r="B105" s="407"/>
      <c r="C105" s="407"/>
      <c r="D105" s="407"/>
      <c r="E105" s="407"/>
      <c r="F105" s="407"/>
      <c r="G105" s="407"/>
      <c r="H105" s="407"/>
      <c r="I105" s="407"/>
      <c r="J105" s="407"/>
      <c r="K105" s="407"/>
      <c r="L105" s="27"/>
    </row>
    <row r="106" spans="1:12">
      <c r="A106" s="26"/>
      <c r="B106" s="407"/>
      <c r="C106" s="407"/>
      <c r="D106" s="407"/>
      <c r="E106" s="407"/>
      <c r="F106" s="407"/>
      <c r="G106" s="407"/>
      <c r="H106" s="407"/>
      <c r="I106" s="407"/>
      <c r="J106" s="407"/>
      <c r="K106" s="407"/>
      <c r="L106" s="27"/>
    </row>
    <row r="107" spans="1:12">
      <c r="A107" s="26"/>
      <c r="B107" s="407"/>
      <c r="C107" s="407"/>
      <c r="D107" s="407"/>
      <c r="E107" s="407"/>
      <c r="F107" s="407"/>
      <c r="G107" s="407"/>
      <c r="H107" s="407"/>
      <c r="I107" s="407"/>
      <c r="J107" s="407"/>
      <c r="K107" s="407"/>
      <c r="L107" s="27"/>
    </row>
    <row r="108" spans="1:12">
      <c r="A108" s="26"/>
      <c r="B108" s="407"/>
      <c r="C108" s="407"/>
      <c r="D108" s="407"/>
      <c r="E108" s="407"/>
      <c r="F108" s="407"/>
      <c r="G108" s="407"/>
      <c r="H108" s="407"/>
      <c r="I108" s="407"/>
      <c r="J108" s="407"/>
      <c r="K108" s="407"/>
      <c r="L108" s="27"/>
    </row>
    <row r="109" spans="1:12">
      <c r="A109" s="26"/>
      <c r="B109" s="407"/>
      <c r="C109" s="407"/>
      <c r="D109" s="407"/>
      <c r="E109" s="407"/>
      <c r="F109" s="407"/>
      <c r="G109" s="407"/>
      <c r="H109" s="407"/>
      <c r="I109" s="407"/>
      <c r="J109" s="407"/>
      <c r="K109" s="407"/>
      <c r="L109" s="27"/>
    </row>
    <row r="110" spans="1:12">
      <c r="A110" s="26"/>
      <c r="B110" s="407"/>
      <c r="C110" s="407"/>
      <c r="D110" s="407"/>
      <c r="E110" s="407"/>
      <c r="F110" s="407"/>
      <c r="G110" s="407"/>
      <c r="H110" s="407"/>
      <c r="I110" s="407"/>
      <c r="J110" s="407"/>
      <c r="K110" s="407"/>
      <c r="L110" s="27"/>
    </row>
    <row r="111" spans="1:12">
      <c r="A111" s="26"/>
      <c r="B111" s="407"/>
      <c r="C111" s="407"/>
      <c r="D111" s="407"/>
      <c r="E111" s="407"/>
      <c r="F111" s="407"/>
      <c r="G111" s="407"/>
      <c r="H111" s="407"/>
      <c r="I111" s="407"/>
      <c r="J111" s="407"/>
      <c r="K111" s="407"/>
      <c r="L111" s="27"/>
    </row>
    <row r="112" spans="1:12">
      <c r="A112" s="26"/>
      <c r="B112" s="407"/>
      <c r="C112" s="407"/>
      <c r="D112" s="407"/>
      <c r="E112" s="407"/>
      <c r="F112" s="407"/>
      <c r="G112" s="407"/>
      <c r="H112" s="407"/>
      <c r="I112" s="407"/>
      <c r="J112" s="407"/>
      <c r="K112" s="407"/>
      <c r="L112" s="27"/>
    </row>
    <row r="113" spans="1:12">
      <c r="A113" s="26"/>
      <c r="B113" s="407"/>
      <c r="C113" s="407"/>
      <c r="D113" s="407"/>
      <c r="E113" s="407"/>
      <c r="F113" s="407"/>
      <c r="G113" s="407"/>
      <c r="H113" s="407"/>
      <c r="I113" s="407"/>
      <c r="J113" s="407"/>
      <c r="K113" s="407"/>
      <c r="L113" s="27"/>
    </row>
    <row r="114" spans="1:12">
      <c r="A114" s="26"/>
      <c r="B114" s="407"/>
      <c r="C114" s="407"/>
      <c r="D114" s="407"/>
      <c r="E114" s="407"/>
      <c r="F114" s="407"/>
      <c r="G114" s="407"/>
      <c r="H114" s="407"/>
      <c r="I114" s="407"/>
      <c r="J114" s="407"/>
      <c r="K114" s="407"/>
      <c r="L114" s="27"/>
    </row>
    <row r="115" spans="1:12">
      <c r="A115" s="26"/>
      <c r="B115" s="407"/>
      <c r="C115" s="407"/>
      <c r="D115" s="407"/>
      <c r="E115" s="407"/>
      <c r="F115" s="407"/>
      <c r="G115" s="407"/>
      <c r="H115" s="407"/>
      <c r="I115" s="407"/>
      <c r="J115" s="407"/>
      <c r="K115" s="407"/>
      <c r="L115" s="27"/>
    </row>
    <row r="116" spans="1:12">
      <c r="A116" s="26"/>
      <c r="B116" s="407"/>
      <c r="C116" s="407"/>
      <c r="D116" s="407"/>
      <c r="E116" s="407"/>
      <c r="F116" s="407"/>
      <c r="G116" s="407"/>
      <c r="H116" s="407"/>
      <c r="I116" s="407"/>
      <c r="J116" s="407"/>
      <c r="K116" s="407"/>
      <c r="L116" s="27"/>
    </row>
    <row r="117" spans="1:12">
      <c r="A117" s="42"/>
      <c r="B117" s="403"/>
      <c r="C117" s="403"/>
      <c r="D117" s="403"/>
      <c r="E117" s="403"/>
      <c r="F117" s="403"/>
      <c r="G117" s="403"/>
      <c r="H117" s="403"/>
      <c r="I117" s="403"/>
      <c r="J117" s="403"/>
      <c r="K117" s="403"/>
      <c r="L117" s="43"/>
    </row>
  </sheetData>
  <sheetProtection selectLockedCells="1" selectUnlockedCells="1"/>
  <mergeCells count="68">
    <mergeCell ref="B31:K31"/>
    <mergeCell ref="F2:K2"/>
    <mergeCell ref="F3:K3"/>
    <mergeCell ref="B4:K4"/>
    <mergeCell ref="B5:K5"/>
    <mergeCell ref="B6:K6"/>
    <mergeCell ref="B7:H7"/>
    <mergeCell ref="I7:I9"/>
    <mergeCell ref="B11:D11"/>
    <mergeCell ref="B13:K13"/>
    <mergeCell ref="B14:K14"/>
    <mergeCell ref="B15:K20"/>
    <mergeCell ref="B21:K21"/>
    <mergeCell ref="B22:K22"/>
    <mergeCell ref="B23:K23"/>
    <mergeCell ref="B25:K25"/>
    <mergeCell ref="L7:L9"/>
    <mergeCell ref="E9:F9"/>
    <mergeCell ref="G9:H9"/>
    <mergeCell ref="L10:L12"/>
    <mergeCell ref="E11:H11"/>
    <mergeCell ref="B12:K12"/>
    <mergeCell ref="B26:K26"/>
    <mergeCell ref="B27:K27"/>
    <mergeCell ref="B24:K24"/>
    <mergeCell ref="B29:K29"/>
    <mergeCell ref="B30:K30"/>
    <mergeCell ref="B28:K28"/>
    <mergeCell ref="B32:K32"/>
    <mergeCell ref="B33:K33"/>
    <mergeCell ref="B34:K34"/>
    <mergeCell ref="B35:K38"/>
    <mergeCell ref="B39:K39"/>
    <mergeCell ref="B40:K40"/>
    <mergeCell ref="B41:K41"/>
    <mergeCell ref="B42:K46"/>
    <mergeCell ref="B47:K47"/>
    <mergeCell ref="B48:K48"/>
    <mergeCell ref="B56:K56"/>
    <mergeCell ref="B57:K57"/>
    <mergeCell ref="B58:K58"/>
    <mergeCell ref="B50:K55"/>
    <mergeCell ref="B49:K49"/>
    <mergeCell ref="B59:K59"/>
    <mergeCell ref="B60:K60"/>
    <mergeCell ref="B61:K61"/>
    <mergeCell ref="B62:K62"/>
    <mergeCell ref="B63:K63"/>
    <mergeCell ref="B64:K64"/>
    <mergeCell ref="B65:K65"/>
    <mergeCell ref="B66:K66"/>
    <mergeCell ref="B67:K67"/>
    <mergeCell ref="B68:K68"/>
    <mergeCell ref="B69:K69"/>
    <mergeCell ref="B70:K70"/>
    <mergeCell ref="B71:K71"/>
    <mergeCell ref="B72:K72"/>
    <mergeCell ref="B73:K73"/>
    <mergeCell ref="B74:K74"/>
    <mergeCell ref="B75:K75"/>
    <mergeCell ref="B76:K76"/>
    <mergeCell ref="B77:K77"/>
    <mergeCell ref="B78:K80"/>
    <mergeCell ref="B117:K117"/>
    <mergeCell ref="B81:K81"/>
    <mergeCell ref="B82:K82"/>
    <mergeCell ref="B83:K83"/>
    <mergeCell ref="B84:K116"/>
  </mergeCells>
  <phoneticPr fontId="27" type="noConversion"/>
  <dataValidations disablePrompts="1" count="1">
    <dataValidation type="list" operator="equal" allowBlank="1" showErrorMessage="1" sqref="E11:H11" xr:uid="{00000000-0002-0000-0300-000000000000}">
      <formula1>"CONFIDENCIAL,CORPORATIVO,RESERVADO,"</formula1>
      <formula2>0</formula2>
    </dataValidation>
  </dataValidations>
  <pageMargins left="0.27569444444444446" right="3.9583333333333331E-2" top="0.5" bottom="0.15763888888888888" header="0.15763888888888888" footer="0.11805555555555555"/>
  <pageSetup paperSize="9" scale="85" firstPageNumber="0" orientation="portrait" horizontalDpi="300" verticalDpi="300"/>
  <headerFooter alignWithMargins="0">
    <oddHeader>&amp;RCORPORATIVO</oddHeader>
    <oddFooter xml:space="preserve">&amp;LGestor: TIC/TIC-EP/GDIEP&amp;CPágina &amp;P de &amp;N&amp;Rversão 1.0 - janeiro/2010 </oddFooter>
  </headerFooter>
  <rowBreaks count="1" manualBreakCount="1">
    <brk id="75" max="16383" man="1"/>
  </rowBreak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7"/>
  <sheetViews>
    <sheetView showGridLines="0" topLeftCell="A8" workbookViewId="0">
      <selection activeCell="C16" sqref="C16"/>
    </sheetView>
  </sheetViews>
  <sheetFormatPr defaultColWidth="11.44140625" defaultRowHeight="12.6"/>
  <cols>
    <col min="1" max="1" width="2.77734375" style="44" customWidth="1"/>
    <col min="2" max="2" width="44" style="44" customWidth="1"/>
    <col min="3" max="5" width="25.77734375" style="44" customWidth="1"/>
    <col min="6" max="6" width="2.77734375" style="44" customWidth="1"/>
    <col min="7" max="16384" width="11.44140625" style="44"/>
  </cols>
  <sheetData>
    <row r="2" spans="1:14" ht="22.5" customHeight="1">
      <c r="A2" s="45"/>
      <c r="B2" s="64"/>
      <c r="C2" s="65"/>
      <c r="D2" s="65"/>
      <c r="E2" s="47" t="s">
        <v>48</v>
      </c>
      <c r="F2" s="48"/>
    </row>
    <row r="3" spans="1:14" ht="21" customHeight="1">
      <c r="A3" s="40"/>
      <c r="B3" s="319" t="str">
        <f>'Declaração de Escopo do Projeto'!B7:H7</f>
        <v>Vertex Londrina 360</v>
      </c>
      <c r="C3" s="319"/>
      <c r="D3" s="319"/>
      <c r="E3" s="319"/>
      <c r="F3" s="49"/>
    </row>
    <row r="4" spans="1:14" ht="9" customHeight="1">
      <c r="A4" s="40"/>
      <c r="B4" s="50"/>
      <c r="C4" s="50"/>
      <c r="D4" s="50"/>
      <c r="E4" s="50"/>
      <c r="F4" s="49"/>
    </row>
    <row r="5" spans="1:14" ht="24" customHeight="1" thickTop="1" thickBot="1">
      <c r="A5" s="40"/>
      <c r="B5" s="5" t="s">
        <v>49</v>
      </c>
      <c r="C5" s="5" t="s">
        <v>50</v>
      </c>
      <c r="D5" s="5" t="s">
        <v>51</v>
      </c>
      <c r="E5" s="5" t="s">
        <v>52</v>
      </c>
      <c r="F5" s="51"/>
    </row>
    <row r="6" spans="1:14" ht="20.100000000000001" customHeight="1" thickTop="1">
      <c r="A6" s="40"/>
      <c r="B6" s="431"/>
      <c r="C6" s="432"/>
      <c r="D6" s="432"/>
      <c r="E6" s="433"/>
      <c r="F6" s="51"/>
    </row>
    <row r="7" spans="1:14" ht="28.5" customHeight="1" thickBot="1">
      <c r="A7" s="40"/>
      <c r="B7" s="434"/>
      <c r="C7" s="435"/>
      <c r="D7" s="435"/>
      <c r="E7" s="436"/>
      <c r="F7" s="51"/>
      <c r="H7" s="308"/>
      <c r="I7" s="308"/>
      <c r="J7" s="308"/>
      <c r="K7" s="308"/>
      <c r="L7" s="308"/>
      <c r="M7" s="308"/>
      <c r="N7" s="308"/>
    </row>
    <row r="8" spans="1:14" ht="28.5" customHeight="1">
      <c r="A8" s="40"/>
      <c r="B8" s="287" t="s">
        <v>470</v>
      </c>
      <c r="C8" s="68" t="s">
        <v>475</v>
      </c>
      <c r="D8" s="68" t="s">
        <v>476</v>
      </c>
      <c r="E8" s="68" t="s">
        <v>477</v>
      </c>
      <c r="F8" s="51"/>
      <c r="H8" s="308"/>
      <c r="I8" s="308"/>
      <c r="J8" s="308"/>
      <c r="K8" s="308"/>
      <c r="L8" s="308"/>
      <c r="M8" s="308"/>
      <c r="N8" s="308"/>
    </row>
    <row r="9" spans="1:14" ht="28.5" customHeight="1" thickBot="1">
      <c r="A9" s="40"/>
      <c r="B9" s="70" t="s">
        <v>478</v>
      </c>
      <c r="C9" s="70" t="s">
        <v>475</v>
      </c>
      <c r="D9" s="70" t="s">
        <v>476</v>
      </c>
      <c r="E9" s="70" t="s">
        <v>479</v>
      </c>
      <c r="F9" s="51"/>
      <c r="H9" s="308"/>
      <c r="I9" s="308"/>
      <c r="J9" s="308"/>
      <c r="K9" s="308"/>
      <c r="L9" s="308"/>
      <c r="M9" s="308"/>
      <c r="N9" s="308"/>
    </row>
    <row r="10" spans="1:14" ht="30.75" customHeight="1">
      <c r="A10" s="40"/>
      <c r="B10" s="68" t="s">
        <v>480</v>
      </c>
      <c r="C10" s="68" t="s">
        <v>481</v>
      </c>
      <c r="D10" s="68" t="s">
        <v>476</v>
      </c>
      <c r="E10" s="68" t="s">
        <v>515</v>
      </c>
      <c r="F10" s="51"/>
      <c r="H10" s="308"/>
      <c r="I10" s="308"/>
      <c r="J10" s="308"/>
      <c r="K10" s="308"/>
      <c r="L10" s="308"/>
      <c r="M10" s="308"/>
      <c r="N10" s="308"/>
    </row>
    <row r="11" spans="1:14" ht="28.5" customHeight="1" thickBot="1">
      <c r="A11" s="40"/>
      <c r="B11" s="70" t="s">
        <v>482</v>
      </c>
      <c r="C11" s="70" t="s">
        <v>483</v>
      </c>
      <c r="D11" s="70" t="s">
        <v>476</v>
      </c>
      <c r="E11" s="70" t="s">
        <v>484</v>
      </c>
      <c r="F11" s="51"/>
      <c r="H11" s="308"/>
      <c r="I11" s="308"/>
      <c r="J11" s="308"/>
      <c r="K11" s="308"/>
      <c r="L11" s="308"/>
      <c r="M11" s="308"/>
      <c r="N11" s="308"/>
    </row>
    <row r="12" spans="1:14" ht="27" customHeight="1">
      <c r="A12" s="40"/>
      <c r="B12" s="68" t="s">
        <v>485</v>
      </c>
      <c r="C12" s="68" t="s">
        <v>343</v>
      </c>
      <c r="D12" s="68" t="s">
        <v>476</v>
      </c>
      <c r="E12" s="68" t="s">
        <v>487</v>
      </c>
      <c r="F12" s="51"/>
      <c r="H12" s="308"/>
      <c r="I12" s="308"/>
      <c r="J12" s="308"/>
      <c r="K12" s="308"/>
      <c r="L12" s="308"/>
      <c r="M12" s="308"/>
      <c r="N12" s="308"/>
    </row>
    <row r="13" spans="1:14" ht="46.5" customHeight="1" thickBot="1">
      <c r="A13" s="40"/>
      <c r="B13" s="70" t="s">
        <v>486</v>
      </c>
      <c r="C13" s="70" t="s">
        <v>483</v>
      </c>
      <c r="D13" s="70" t="s">
        <v>476</v>
      </c>
      <c r="E13" s="70" t="s">
        <v>518</v>
      </c>
      <c r="F13" s="51"/>
      <c r="H13" s="308"/>
      <c r="I13" s="308"/>
      <c r="J13" s="308"/>
      <c r="K13" s="308"/>
      <c r="L13" s="308"/>
      <c r="M13" s="308"/>
      <c r="N13" s="308"/>
    </row>
    <row r="14" spans="1:14" ht="34.5" customHeight="1">
      <c r="A14" s="40"/>
      <c r="B14" s="68" t="s">
        <v>488</v>
      </c>
      <c r="C14" s="68" t="s">
        <v>489</v>
      </c>
      <c r="D14" s="68" t="s">
        <v>476</v>
      </c>
      <c r="E14" s="68" t="s">
        <v>490</v>
      </c>
      <c r="F14" s="51"/>
      <c r="H14" s="308"/>
      <c r="I14" s="308"/>
      <c r="J14" s="308"/>
      <c r="K14" s="308"/>
      <c r="L14" s="308"/>
      <c r="M14" s="308"/>
      <c r="N14" s="308"/>
    </row>
    <row r="15" spans="1:14" ht="34.5" customHeight="1" thickBot="1">
      <c r="A15" s="40"/>
      <c r="B15" s="70" t="s">
        <v>491</v>
      </c>
      <c r="C15" s="70" t="s">
        <v>413</v>
      </c>
      <c r="D15" s="70" t="s">
        <v>476</v>
      </c>
      <c r="E15" s="70" t="s">
        <v>492</v>
      </c>
      <c r="F15" s="51"/>
    </row>
    <row r="16" spans="1:14" ht="20.100000000000001" customHeight="1" thickBot="1">
      <c r="A16" s="40"/>
      <c r="B16" s="68"/>
      <c r="C16" s="68"/>
      <c r="D16" s="68"/>
      <c r="E16" s="68"/>
      <c r="F16" s="51"/>
      <c r="I16" s="279"/>
      <c r="J16" s="279"/>
      <c r="K16" s="279"/>
    </row>
    <row r="17" spans="1:11" ht="20.100000000000001" customHeight="1" thickBot="1">
      <c r="A17" s="40"/>
      <c r="B17" s="70"/>
      <c r="C17" s="70"/>
      <c r="D17" s="70"/>
      <c r="E17" s="70"/>
      <c r="F17" s="51"/>
      <c r="I17" s="279"/>
      <c r="J17" s="280"/>
      <c r="K17" s="280"/>
    </row>
    <row r="18" spans="1:11" ht="20.100000000000001" customHeight="1" thickBot="1">
      <c r="A18" s="40"/>
      <c r="B18" s="68"/>
      <c r="C18" s="68"/>
      <c r="D18" s="68"/>
      <c r="E18" s="68"/>
      <c r="F18" s="51"/>
      <c r="I18" s="279"/>
      <c r="J18" s="280"/>
      <c r="K18" s="280"/>
    </row>
    <row r="19" spans="1:11" ht="20.100000000000001" customHeight="1" thickBot="1">
      <c r="A19" s="40"/>
      <c r="B19" s="70"/>
      <c r="C19" s="70"/>
      <c r="D19" s="70"/>
      <c r="E19" s="70"/>
      <c r="F19" s="51"/>
      <c r="I19" s="279"/>
      <c r="J19" s="280"/>
      <c r="K19" s="280"/>
    </row>
    <row r="20" spans="1:11" ht="20.100000000000001" customHeight="1" thickBot="1">
      <c r="A20" s="40"/>
      <c r="B20" s="68"/>
      <c r="C20" s="68"/>
      <c r="D20" s="68"/>
      <c r="E20" s="68"/>
      <c r="F20" s="51"/>
      <c r="I20" s="279"/>
      <c r="J20" s="280"/>
      <c r="K20" s="280"/>
    </row>
    <row r="21" spans="1:11" ht="20.100000000000001" customHeight="1" thickBot="1">
      <c r="A21" s="40"/>
      <c r="B21" s="70"/>
      <c r="C21" s="70"/>
      <c r="D21" s="70"/>
      <c r="E21" s="70"/>
      <c r="F21" s="51"/>
      <c r="I21" s="279"/>
      <c r="J21" s="280"/>
      <c r="K21" s="280"/>
    </row>
    <row r="22" spans="1:11" ht="20.100000000000001" customHeight="1" thickBot="1">
      <c r="A22" s="40"/>
      <c r="B22" s="67"/>
      <c r="C22" s="68"/>
      <c r="D22" s="68"/>
      <c r="E22" s="68"/>
      <c r="F22" s="51"/>
      <c r="I22" s="279"/>
      <c r="J22" s="280"/>
      <c r="K22" s="280"/>
    </row>
    <row r="23" spans="1:11" ht="20.100000000000001" customHeight="1" thickBot="1">
      <c r="A23" s="40"/>
      <c r="B23" s="69"/>
      <c r="C23" s="70"/>
      <c r="D23" s="70"/>
      <c r="E23" s="70"/>
      <c r="F23" s="51"/>
      <c r="I23" s="279"/>
      <c r="J23" s="280"/>
      <c r="K23" s="280"/>
    </row>
    <row r="24" spans="1:11" ht="20.100000000000001" customHeight="1" thickBot="1">
      <c r="A24" s="40"/>
      <c r="B24" s="67"/>
      <c r="C24" s="68"/>
      <c r="D24" s="68"/>
      <c r="E24" s="68"/>
      <c r="F24" s="51"/>
      <c r="I24" s="279"/>
      <c r="J24" s="280"/>
      <c r="K24" s="280"/>
    </row>
    <row r="25" spans="1:11" ht="20.100000000000001" customHeight="1" thickBot="1">
      <c r="A25" s="40"/>
      <c r="B25" s="69"/>
      <c r="C25" s="70"/>
      <c r="D25" s="70"/>
      <c r="E25" s="70"/>
      <c r="F25" s="51"/>
      <c r="I25" s="279"/>
      <c r="J25" s="280"/>
      <c r="K25" s="280"/>
    </row>
    <row r="26" spans="1:11" ht="15.6" thickBot="1">
      <c r="A26" s="62"/>
      <c r="B26" s="430" t="s">
        <v>493</v>
      </c>
      <c r="C26" s="430"/>
      <c r="D26" s="430"/>
      <c r="E26" s="430"/>
      <c r="F26" s="430"/>
      <c r="I26" s="279"/>
      <c r="J26" s="280"/>
      <c r="K26" s="280"/>
    </row>
    <row r="27" spans="1:11" ht="15.6" thickBot="1">
      <c r="I27" s="279"/>
      <c r="J27" s="280"/>
      <c r="K27" s="280"/>
    </row>
  </sheetData>
  <sheetProtection selectLockedCells="1" selectUnlockedCells="1"/>
  <mergeCells count="3">
    <mergeCell ref="B3:E3"/>
    <mergeCell ref="B26:F26"/>
    <mergeCell ref="B6:E7"/>
  </mergeCells>
  <phoneticPr fontId="27" type="noConversion"/>
  <pageMargins left="0.2361111111111111" right="0.2361111111111111" top="0.62986111111111109" bottom="0.82708333333333328" header="0.15763888888888888" footer="0.51180555555555551"/>
  <pageSetup paperSize="9" firstPageNumber="0" orientation="landscape" horizontalDpi="300" verticalDpi="300" r:id="rId1"/>
  <headerFooter alignWithMargins="0">
    <oddHeader>&amp;R&amp;"Arial,Negrito"&amp;12CORPORATIVO</oddHeader>
    <oddFooter xml:space="preserve">&amp;LGestor: TIC/TIC-EP/GDIEP&amp;CPágina &amp;P de &amp;N&amp;Rversão 1.0 - janeiro/2010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2"/>
  <sheetViews>
    <sheetView showGridLines="0" topLeftCell="A10" workbookViewId="0">
      <selection activeCell="C14" sqref="C14"/>
    </sheetView>
  </sheetViews>
  <sheetFormatPr defaultColWidth="11.44140625" defaultRowHeight="12.6"/>
  <cols>
    <col min="1" max="1" width="2.77734375" style="44" customWidth="1"/>
    <col min="2" max="2" width="31.21875" style="44" customWidth="1"/>
    <col min="3" max="3" width="30" style="44" customWidth="1"/>
    <col min="4" max="4" width="23.6640625" style="44" customWidth="1"/>
    <col min="5" max="6" width="17.21875" style="44" customWidth="1"/>
    <col min="7" max="7" width="25.77734375" style="44" customWidth="1"/>
    <col min="8" max="8" width="3.33203125" style="44" customWidth="1"/>
    <col min="9" max="16384" width="11.44140625" style="44"/>
  </cols>
  <sheetData>
    <row r="2" spans="1:8" ht="22.5" customHeight="1">
      <c r="A2" s="45"/>
      <c r="B2" s="46"/>
      <c r="C2" s="437" t="s">
        <v>13</v>
      </c>
      <c r="D2" s="437"/>
      <c r="E2" s="437"/>
      <c r="F2" s="437"/>
      <c r="G2" s="437"/>
      <c r="H2" s="48"/>
    </row>
    <row r="3" spans="1:8" ht="21" customHeight="1">
      <c r="A3" s="40"/>
      <c r="B3" s="319" t="str">
        <f>'Declaração de Escopo do Projeto'!B7:H7</f>
        <v>Vertex Londrina 360</v>
      </c>
      <c r="C3" s="319"/>
      <c r="D3" s="319"/>
      <c r="E3" s="319"/>
      <c r="F3" s="319"/>
      <c r="G3" s="319"/>
      <c r="H3" s="49"/>
    </row>
    <row r="4" spans="1:8" ht="9" customHeight="1">
      <c r="A4" s="40"/>
      <c r="B4" s="50"/>
      <c r="C4" s="50"/>
      <c r="D4" s="50"/>
      <c r="E4" s="50"/>
      <c r="F4" s="50"/>
      <c r="G4" s="50"/>
      <c r="H4" s="49"/>
    </row>
    <row r="5" spans="1:8" ht="20.100000000000001" customHeight="1">
      <c r="A5" s="40"/>
      <c r="B5" s="438" t="s">
        <v>59</v>
      </c>
      <c r="C5" s="438"/>
      <c r="D5" s="438"/>
      <c r="E5" s="438"/>
      <c r="F5" s="438"/>
      <c r="G5" s="438"/>
      <c r="H5" s="51"/>
    </row>
    <row r="6" spans="1:8" ht="66" customHeight="1" thickBot="1">
      <c r="A6" s="40"/>
      <c r="B6" s="84" t="s">
        <v>60</v>
      </c>
      <c r="C6" s="85" t="s">
        <v>61</v>
      </c>
      <c r="D6" s="85" t="s">
        <v>62</v>
      </c>
      <c r="E6" s="85" t="s">
        <v>63</v>
      </c>
      <c r="F6" s="85" t="s">
        <v>64</v>
      </c>
      <c r="G6" s="85" t="s">
        <v>65</v>
      </c>
      <c r="H6" s="51"/>
    </row>
    <row r="7" spans="1:8" ht="20.100000000000001" customHeight="1" thickBot="1">
      <c r="A7" s="40"/>
      <c r="B7" s="86" t="s">
        <v>66</v>
      </c>
      <c r="C7" s="288">
        <v>0.375</v>
      </c>
      <c r="D7" s="288">
        <v>0.375</v>
      </c>
      <c r="E7" s="288">
        <v>0.375</v>
      </c>
      <c r="F7" s="288">
        <v>0.375</v>
      </c>
      <c r="G7" s="288">
        <v>0.375</v>
      </c>
      <c r="H7" s="51"/>
    </row>
    <row r="8" spans="1:8" ht="20.100000000000001" customHeight="1" thickBot="1">
      <c r="A8" s="40"/>
      <c r="B8" s="86" t="s">
        <v>67</v>
      </c>
      <c r="C8" s="289">
        <v>0.75</v>
      </c>
      <c r="D8" s="289">
        <v>0.75</v>
      </c>
      <c r="E8" s="289">
        <v>0.75</v>
      </c>
      <c r="F8" s="289">
        <v>0.75</v>
      </c>
      <c r="G8" s="289">
        <v>0.75</v>
      </c>
      <c r="H8" s="51"/>
    </row>
    <row r="9" spans="1:8" ht="8.25" customHeight="1" thickBot="1">
      <c r="A9" s="40"/>
      <c r="B9" s="87"/>
      <c r="C9" s="87"/>
      <c r="D9" s="87"/>
      <c r="E9" s="87"/>
      <c r="F9" s="87"/>
      <c r="G9" s="87"/>
      <c r="H9" s="51"/>
    </row>
    <row r="10" spans="1:8" ht="20.100000000000001" customHeight="1">
      <c r="A10" s="40"/>
      <c r="B10" s="438" t="s">
        <v>68</v>
      </c>
      <c r="C10" s="438"/>
      <c r="D10" s="438"/>
      <c r="E10" s="438"/>
      <c r="F10" s="438"/>
      <c r="G10" s="438"/>
      <c r="H10" s="51"/>
    </row>
    <row r="11" spans="1:8" ht="27.75" customHeight="1" thickBot="1">
      <c r="A11" s="40"/>
      <c r="B11" s="85" t="s">
        <v>53</v>
      </c>
      <c r="C11" s="85" t="s">
        <v>69</v>
      </c>
      <c r="D11" s="85" t="s">
        <v>331</v>
      </c>
      <c r="E11" s="85" t="s">
        <v>70</v>
      </c>
      <c r="F11" s="85" t="s">
        <v>71</v>
      </c>
      <c r="G11" s="85"/>
      <c r="H11" s="51"/>
    </row>
    <row r="12" spans="1:8" ht="23.4" thickBot="1">
      <c r="A12" s="40"/>
      <c r="B12" s="290" t="s">
        <v>344</v>
      </c>
      <c r="C12" s="296" t="s">
        <v>523</v>
      </c>
      <c r="D12" s="292" t="s">
        <v>256</v>
      </c>
      <c r="E12" s="296" t="s">
        <v>524</v>
      </c>
      <c r="F12" s="296" t="s">
        <v>525</v>
      </c>
      <c r="G12" s="66"/>
      <c r="H12" s="51"/>
    </row>
    <row r="13" spans="1:8" ht="23.4" thickBot="1">
      <c r="A13" s="40"/>
      <c r="B13" s="290" t="s">
        <v>355</v>
      </c>
      <c r="C13" s="296" t="s">
        <v>526</v>
      </c>
      <c r="D13" s="292" t="s">
        <v>356</v>
      </c>
      <c r="E13" s="296" t="s">
        <v>527</v>
      </c>
      <c r="F13" s="296" t="s">
        <v>528</v>
      </c>
      <c r="G13" s="66"/>
      <c r="H13" s="51"/>
    </row>
    <row r="14" spans="1:8" ht="23.4" thickBot="1">
      <c r="A14" s="40"/>
      <c r="B14" s="290" t="s">
        <v>466</v>
      </c>
      <c r="C14" s="296" t="s">
        <v>529</v>
      </c>
      <c r="D14" s="292" t="s">
        <v>363</v>
      </c>
      <c r="E14" s="296" t="s">
        <v>530</v>
      </c>
      <c r="F14" s="296" t="s">
        <v>531</v>
      </c>
      <c r="G14" s="66"/>
      <c r="H14" s="51"/>
    </row>
    <row r="15" spans="1:8" ht="23.4" thickBot="1">
      <c r="A15" s="40"/>
      <c r="B15" s="290" t="s">
        <v>357</v>
      </c>
      <c r="C15" s="296" t="s">
        <v>532</v>
      </c>
      <c r="D15" s="292" t="s">
        <v>359</v>
      </c>
      <c r="E15" s="296" t="s">
        <v>533</v>
      </c>
      <c r="F15" s="296" t="s">
        <v>534</v>
      </c>
      <c r="G15" s="66"/>
      <c r="H15" s="51"/>
    </row>
    <row r="16" spans="1:8" ht="23.4" thickBot="1">
      <c r="A16" s="40"/>
      <c r="B16" s="290" t="s">
        <v>358</v>
      </c>
      <c r="C16" s="296" t="s">
        <v>535</v>
      </c>
      <c r="D16" s="292" t="s">
        <v>359</v>
      </c>
      <c r="E16" s="296" t="s">
        <v>536</v>
      </c>
      <c r="F16" s="296" t="s">
        <v>537</v>
      </c>
      <c r="G16" s="66"/>
      <c r="H16" s="51"/>
    </row>
    <row r="17" spans="1:8" ht="23.4" thickBot="1">
      <c r="A17" s="40"/>
      <c r="B17" s="290" t="s">
        <v>350</v>
      </c>
      <c r="C17" s="296" t="s">
        <v>538</v>
      </c>
      <c r="D17" s="292" t="s">
        <v>352</v>
      </c>
      <c r="E17" s="296" t="s">
        <v>539</v>
      </c>
      <c r="F17" s="296" t="s">
        <v>540</v>
      </c>
      <c r="G17" s="66"/>
      <c r="H17" s="51"/>
    </row>
    <row r="18" spans="1:8" ht="23.4" thickBot="1">
      <c r="A18" s="40"/>
      <c r="B18" s="290" t="s">
        <v>351</v>
      </c>
      <c r="C18" s="296" t="s">
        <v>541</v>
      </c>
      <c r="D18" s="292" t="s">
        <v>352</v>
      </c>
      <c r="E18" s="296" t="s">
        <v>542</v>
      </c>
      <c r="F18" s="296" t="s">
        <v>543</v>
      </c>
      <c r="G18" s="66"/>
      <c r="H18" s="51"/>
    </row>
    <row r="19" spans="1:8" ht="23.4" thickBot="1">
      <c r="A19" s="40"/>
      <c r="B19" s="290" t="s">
        <v>353</v>
      </c>
      <c r="C19" s="296" t="s">
        <v>544</v>
      </c>
      <c r="D19" s="292" t="s">
        <v>352</v>
      </c>
      <c r="E19" s="296" t="s">
        <v>545</v>
      </c>
      <c r="F19" s="296" t="s">
        <v>546</v>
      </c>
      <c r="G19" s="66"/>
      <c r="H19" s="51"/>
    </row>
    <row r="20" spans="1:8">
      <c r="A20" s="40"/>
      <c r="B20" s="290"/>
      <c r="C20" s="296"/>
      <c r="D20" s="292"/>
      <c r="E20" s="296"/>
      <c r="F20" s="296"/>
      <c r="G20" s="66"/>
      <c r="H20" s="51"/>
    </row>
    <row r="21" spans="1:8" ht="13.5" customHeight="1" thickBot="1">
      <c r="A21" s="62"/>
      <c r="B21" s="291"/>
      <c r="C21" s="90"/>
      <c r="D21" s="291"/>
      <c r="E21" s="90"/>
      <c r="F21" s="90"/>
      <c r="G21" s="90"/>
      <c r="H21" s="91"/>
    </row>
    <row r="22" spans="1:8">
      <c r="D22" s="294"/>
    </row>
  </sheetData>
  <sheetProtection selectLockedCells="1" selectUnlockedCells="1"/>
  <mergeCells count="4">
    <mergeCell ref="C2:G2"/>
    <mergeCell ref="B3:G3"/>
    <mergeCell ref="B5:G5"/>
    <mergeCell ref="B10:G10"/>
  </mergeCells>
  <phoneticPr fontId="27" type="noConversion"/>
  <pageMargins left="0.24027777777777778" right="0.2298611111111111" top="0.64027777777777772" bottom="0.80972222222222223" header="0.1701388888888889" footer="0.51180555555555551"/>
  <pageSetup paperSize="9" scale="85" firstPageNumber="0" orientation="landscape" horizontalDpi="300" verticalDpi="300"/>
  <headerFooter alignWithMargins="0">
    <oddHeader>&amp;R&amp;"Arial,Negrito"&amp;12CORPORATIVO</oddHeader>
    <oddFooter xml:space="preserve">&amp;LGestor: TIC/TIC-EP/GDIEP&amp;CPágina &amp;P de &amp;N&amp;Rversão 1.0 - janeiro/2010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V66"/>
  <sheetViews>
    <sheetView showGridLines="0" topLeftCell="A7" zoomScale="90" zoomScaleNormal="90" workbookViewId="0">
      <pane xSplit="3" topLeftCell="D1" activePane="topRight" state="frozen"/>
      <selection activeCell="A4" sqref="A4"/>
      <selection pane="topRight" activeCell="E17" sqref="E17"/>
    </sheetView>
  </sheetViews>
  <sheetFormatPr defaultColWidth="11.44140625" defaultRowHeight="12.6"/>
  <cols>
    <col min="1" max="1" width="2.77734375" style="41" customWidth="1"/>
    <col min="2" max="2" width="17.77734375" style="41" customWidth="1"/>
    <col min="3" max="3" width="23.33203125" style="41" customWidth="1"/>
    <col min="4" max="4" width="23.21875" style="41" customWidth="1"/>
    <col min="5" max="5" width="9.44140625" style="41" customWidth="1"/>
    <col min="6" max="15" width="11.44140625" style="41" customWidth="1"/>
    <col min="16" max="16" width="11.21875" style="41" customWidth="1"/>
    <col min="17" max="17" width="12.33203125" style="41" customWidth="1"/>
    <col min="18" max="18" width="12.77734375" style="41" customWidth="1"/>
    <col min="19" max="19" width="11.77734375" style="41" customWidth="1"/>
    <col min="20" max="20" width="15.109375" style="154" customWidth="1"/>
    <col min="21" max="23" width="11.44140625" style="41" customWidth="1"/>
    <col min="24" max="24" width="10.6640625" style="41" customWidth="1"/>
    <col min="25" max="38" width="11.44140625" style="41" customWidth="1"/>
    <col min="39" max="39" width="14.77734375" style="41" customWidth="1"/>
    <col min="40" max="16384" width="11.44140625" style="41"/>
  </cols>
  <sheetData>
    <row r="1" spans="1:256" ht="13.8" thickBo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s="153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ht="21.75" customHeight="1">
      <c r="A2" s="45"/>
      <c r="B2" s="2"/>
      <c r="C2" s="2"/>
      <c r="D2" s="2"/>
      <c r="E2" s="318" t="s">
        <v>14</v>
      </c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71"/>
      <c r="IJ2" s="72"/>
      <c r="IK2" s="72"/>
      <c r="IL2" s="72"/>
      <c r="IM2" s="72"/>
      <c r="IN2" s="72"/>
      <c r="IO2" s="72"/>
      <c r="IP2" s="72"/>
      <c r="IQ2" s="72"/>
      <c r="IR2" s="72"/>
      <c r="IS2" s="72"/>
      <c r="IT2" s="72"/>
      <c r="IU2" s="72"/>
      <c r="IV2" s="72"/>
    </row>
    <row r="3" spans="1:256" ht="20.25" customHeight="1">
      <c r="A3" s="40"/>
      <c r="B3" s="319" t="str">
        <f>'Declaração de Escopo do Projeto'!B7:H7</f>
        <v>Vertex Londrina 360</v>
      </c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73"/>
      <c r="IJ3" s="72"/>
      <c r="IK3" s="72"/>
      <c r="IL3" s="72"/>
      <c r="IM3" s="72"/>
      <c r="IN3" s="72"/>
      <c r="IO3" s="72"/>
      <c r="IP3" s="72"/>
      <c r="IQ3" s="72"/>
      <c r="IR3" s="72"/>
      <c r="IS3" s="72"/>
      <c r="IT3" s="72"/>
      <c r="IU3" s="72"/>
      <c r="IV3" s="72"/>
    </row>
    <row r="4" spans="1:256" ht="9" customHeight="1" thickBot="1">
      <c r="A4" s="40"/>
      <c r="B4" s="88"/>
      <c r="C4" s="88"/>
      <c r="D4" s="88"/>
      <c r="E4" s="88"/>
      <c r="F4" s="88"/>
      <c r="G4" s="3"/>
      <c r="H4" s="3"/>
      <c r="I4" s="3"/>
      <c r="J4" s="3"/>
      <c r="K4" s="3"/>
      <c r="L4" s="3"/>
      <c r="M4" s="3"/>
      <c r="N4" s="3"/>
      <c r="O4" s="3"/>
      <c r="P4" s="51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</row>
    <row r="5" spans="1:256" ht="24.75" customHeight="1" thickBot="1">
      <c r="A5" s="40"/>
      <c r="B5" s="439" t="s">
        <v>337</v>
      </c>
      <c r="C5" s="459" t="s">
        <v>53</v>
      </c>
      <c r="D5" s="462" t="s">
        <v>72</v>
      </c>
      <c r="E5" s="463"/>
      <c r="F5" s="463"/>
      <c r="G5" s="463"/>
      <c r="H5" s="463"/>
      <c r="I5" s="463"/>
      <c r="J5" s="463"/>
      <c r="K5" s="463"/>
      <c r="L5" s="463"/>
      <c r="M5" s="463"/>
      <c r="N5" s="463"/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  <c r="AJ5" s="463"/>
      <c r="AK5" s="463"/>
      <c r="AL5" s="463"/>
      <c r="AM5" s="463"/>
    </row>
    <row r="6" spans="1:256" ht="24.75" customHeight="1" thickBot="1">
      <c r="A6" s="40"/>
      <c r="B6" s="440"/>
      <c r="C6" s="460"/>
      <c r="D6" s="123"/>
      <c r="E6" s="457" t="s">
        <v>136</v>
      </c>
      <c r="F6" s="458"/>
      <c r="G6" s="464" t="s">
        <v>137</v>
      </c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6" t="s">
        <v>138</v>
      </c>
      <c r="Z6" s="466"/>
      <c r="AA6" s="466"/>
      <c r="AB6" s="466"/>
      <c r="AC6" s="466"/>
      <c r="AD6" s="467" t="s">
        <v>182</v>
      </c>
      <c r="AE6" s="467"/>
      <c r="AF6" s="467"/>
      <c r="AG6" s="467"/>
      <c r="AH6" s="467"/>
      <c r="AI6" s="467"/>
      <c r="AJ6" s="467"/>
      <c r="AK6" s="468"/>
      <c r="AL6" s="469" t="s">
        <v>139</v>
      </c>
      <c r="AM6" s="470"/>
    </row>
    <row r="7" spans="1:256" ht="24.75" customHeight="1" thickBot="1">
      <c r="A7" s="40"/>
      <c r="B7" s="440"/>
      <c r="C7" s="460"/>
      <c r="D7" s="123"/>
      <c r="E7" s="457" t="s">
        <v>205</v>
      </c>
      <c r="F7" s="458"/>
      <c r="G7" s="464" t="s">
        <v>193</v>
      </c>
      <c r="H7" s="465"/>
      <c r="I7" s="465"/>
      <c r="J7" s="465" t="s">
        <v>194</v>
      </c>
      <c r="K7" s="465"/>
      <c r="L7" s="465"/>
      <c r="M7" s="465"/>
      <c r="N7" s="465"/>
      <c r="O7" s="465" t="s">
        <v>195</v>
      </c>
      <c r="P7" s="465"/>
      <c r="Q7" s="156" t="s">
        <v>196</v>
      </c>
      <c r="R7" s="207" t="s">
        <v>197</v>
      </c>
      <c r="S7" s="157" t="s">
        <v>198</v>
      </c>
      <c r="T7" s="156" t="s">
        <v>199</v>
      </c>
      <c r="U7" s="465" t="s">
        <v>200</v>
      </c>
      <c r="V7" s="465"/>
      <c r="W7" s="465"/>
      <c r="X7" s="207" t="s">
        <v>201</v>
      </c>
      <c r="Y7" s="466" t="s">
        <v>197</v>
      </c>
      <c r="Z7" s="466"/>
      <c r="AA7" s="466"/>
      <c r="AB7" s="208" t="s">
        <v>195</v>
      </c>
      <c r="AC7" s="208" t="s">
        <v>202</v>
      </c>
      <c r="AD7" s="471" t="s">
        <v>193</v>
      </c>
      <c r="AE7" s="471"/>
      <c r="AF7" s="209" t="s">
        <v>194</v>
      </c>
      <c r="AG7" s="209" t="s">
        <v>195</v>
      </c>
      <c r="AH7" s="209" t="s">
        <v>203</v>
      </c>
      <c r="AI7" s="209" t="s">
        <v>195</v>
      </c>
      <c r="AJ7" s="209" t="s">
        <v>202</v>
      </c>
      <c r="AK7" s="155" t="s">
        <v>200</v>
      </c>
      <c r="AL7" s="206" t="s">
        <v>195</v>
      </c>
      <c r="AM7" s="206" t="s">
        <v>204</v>
      </c>
    </row>
    <row r="8" spans="1:256" ht="12.75" customHeight="1">
      <c r="A8" s="40"/>
      <c r="B8" s="440"/>
      <c r="C8" s="460"/>
      <c r="D8" s="439" t="s">
        <v>207</v>
      </c>
      <c r="E8" s="444" t="s">
        <v>157</v>
      </c>
      <c r="F8" s="444" t="s">
        <v>158</v>
      </c>
      <c r="G8" s="444" t="s">
        <v>159</v>
      </c>
      <c r="H8" s="444" t="s">
        <v>160</v>
      </c>
      <c r="I8" s="444" t="s">
        <v>161</v>
      </c>
      <c r="J8" s="448" t="s">
        <v>162</v>
      </c>
      <c r="K8" s="444" t="s">
        <v>163</v>
      </c>
      <c r="L8" s="444" t="s">
        <v>164</v>
      </c>
      <c r="M8" s="444" t="s">
        <v>165</v>
      </c>
      <c r="N8" s="444" t="s">
        <v>166</v>
      </c>
      <c r="O8" s="444" t="s">
        <v>167</v>
      </c>
      <c r="P8" s="444" t="s">
        <v>168</v>
      </c>
      <c r="Q8" s="444" t="s">
        <v>171</v>
      </c>
      <c r="R8" s="444" t="s">
        <v>172</v>
      </c>
      <c r="S8" s="444" t="s">
        <v>173</v>
      </c>
      <c r="T8" s="451" t="s">
        <v>174</v>
      </c>
      <c r="U8" s="444" t="s">
        <v>175</v>
      </c>
      <c r="V8" s="444" t="s">
        <v>176</v>
      </c>
      <c r="W8" s="441" t="s">
        <v>169</v>
      </c>
      <c r="X8" s="441" t="s">
        <v>170</v>
      </c>
      <c r="Y8" s="444" t="s">
        <v>177</v>
      </c>
      <c r="Z8" s="444" t="s">
        <v>178</v>
      </c>
      <c r="AA8" s="444" t="s">
        <v>179</v>
      </c>
      <c r="AB8" s="444" t="s">
        <v>180</v>
      </c>
      <c r="AC8" s="444" t="s">
        <v>181</v>
      </c>
      <c r="AD8" s="441" t="s">
        <v>183</v>
      </c>
      <c r="AE8" s="444" t="s">
        <v>184</v>
      </c>
      <c r="AF8" s="444" t="s">
        <v>185</v>
      </c>
      <c r="AG8" s="444" t="s">
        <v>186</v>
      </c>
      <c r="AH8" s="444" t="s">
        <v>187</v>
      </c>
      <c r="AI8" s="444" t="s">
        <v>188</v>
      </c>
      <c r="AJ8" s="444" t="s">
        <v>189</v>
      </c>
      <c r="AK8" s="444" t="s">
        <v>190</v>
      </c>
      <c r="AL8" s="444" t="s">
        <v>191</v>
      </c>
      <c r="AM8" s="444" t="s">
        <v>192</v>
      </c>
    </row>
    <row r="9" spans="1:256" ht="12.75" customHeight="1">
      <c r="A9" s="447"/>
      <c r="B9" s="440"/>
      <c r="C9" s="460"/>
      <c r="D9" s="440"/>
      <c r="E9" s="445"/>
      <c r="F9" s="445"/>
      <c r="G9" s="445"/>
      <c r="H9" s="445"/>
      <c r="I9" s="445"/>
      <c r="J9" s="449"/>
      <c r="K9" s="445"/>
      <c r="L9" s="445"/>
      <c r="M9" s="445"/>
      <c r="N9" s="445"/>
      <c r="O9" s="445"/>
      <c r="P9" s="445"/>
      <c r="Q9" s="445"/>
      <c r="R9" s="445"/>
      <c r="S9" s="445"/>
      <c r="T9" s="452"/>
      <c r="U9" s="445"/>
      <c r="V9" s="445"/>
      <c r="W9" s="442"/>
      <c r="X9" s="442"/>
      <c r="Y9" s="445"/>
      <c r="Z9" s="445"/>
      <c r="AA9" s="445"/>
      <c r="AB9" s="445"/>
      <c r="AC9" s="445"/>
      <c r="AD9" s="442"/>
      <c r="AE9" s="445"/>
      <c r="AF9" s="445"/>
      <c r="AG9" s="445"/>
      <c r="AH9" s="445"/>
      <c r="AI9" s="445"/>
      <c r="AJ9" s="445"/>
      <c r="AK9" s="445"/>
      <c r="AL9" s="445"/>
      <c r="AM9" s="445"/>
    </row>
    <row r="10" spans="1:256" ht="12.75" customHeight="1">
      <c r="A10" s="447"/>
      <c r="B10" s="440"/>
      <c r="C10" s="460"/>
      <c r="D10" s="440"/>
      <c r="E10" s="445"/>
      <c r="F10" s="445"/>
      <c r="G10" s="445"/>
      <c r="H10" s="445"/>
      <c r="I10" s="445"/>
      <c r="J10" s="449"/>
      <c r="K10" s="445"/>
      <c r="L10" s="445"/>
      <c r="M10" s="445"/>
      <c r="N10" s="445"/>
      <c r="O10" s="445"/>
      <c r="P10" s="445"/>
      <c r="Q10" s="445"/>
      <c r="R10" s="445"/>
      <c r="S10" s="445"/>
      <c r="T10" s="452"/>
      <c r="U10" s="445"/>
      <c r="V10" s="445"/>
      <c r="W10" s="442"/>
      <c r="X10" s="442"/>
      <c r="Y10" s="445"/>
      <c r="Z10" s="445"/>
      <c r="AA10" s="445"/>
      <c r="AB10" s="445"/>
      <c r="AC10" s="445"/>
      <c r="AD10" s="442"/>
      <c r="AE10" s="445"/>
      <c r="AF10" s="445"/>
      <c r="AG10" s="445"/>
      <c r="AH10" s="445"/>
      <c r="AI10" s="445"/>
      <c r="AJ10" s="445"/>
      <c r="AK10" s="445"/>
      <c r="AL10" s="445"/>
      <c r="AM10" s="445"/>
    </row>
    <row r="11" spans="1:256" ht="21" customHeight="1" thickBot="1">
      <c r="A11" s="447"/>
      <c r="B11" s="440"/>
      <c r="C11" s="460"/>
      <c r="D11" s="440"/>
      <c r="E11" s="445"/>
      <c r="F11" s="445"/>
      <c r="G11" s="445"/>
      <c r="H11" s="445"/>
      <c r="I11" s="445"/>
      <c r="J11" s="449"/>
      <c r="K11" s="445"/>
      <c r="L11" s="445"/>
      <c r="M11" s="445"/>
      <c r="N11" s="445"/>
      <c r="O11" s="445"/>
      <c r="P11" s="445"/>
      <c r="Q11" s="445"/>
      <c r="R11" s="445"/>
      <c r="S11" s="445"/>
      <c r="T11" s="452"/>
      <c r="U11" s="445"/>
      <c r="V11" s="445"/>
      <c r="W11" s="442"/>
      <c r="X11" s="442"/>
      <c r="Y11" s="445"/>
      <c r="Z11" s="445"/>
      <c r="AA11" s="445"/>
      <c r="AB11" s="445"/>
      <c r="AC11" s="445"/>
      <c r="AD11" s="442"/>
      <c r="AE11" s="445"/>
      <c r="AF11" s="445"/>
      <c r="AG11" s="445"/>
      <c r="AH11" s="445"/>
      <c r="AI11" s="445"/>
      <c r="AJ11" s="445"/>
      <c r="AK11" s="445"/>
      <c r="AL11" s="445"/>
      <c r="AM11" s="445"/>
    </row>
    <row r="12" spans="1:256" ht="12.75" customHeight="1">
      <c r="A12" s="447"/>
      <c r="B12" s="439"/>
      <c r="C12" s="460"/>
      <c r="D12" s="440"/>
      <c r="E12" s="445"/>
      <c r="F12" s="445"/>
      <c r="G12" s="445"/>
      <c r="H12" s="445"/>
      <c r="I12" s="445"/>
      <c r="J12" s="449"/>
      <c r="K12" s="445"/>
      <c r="L12" s="445"/>
      <c r="M12" s="445"/>
      <c r="N12" s="445"/>
      <c r="O12" s="445"/>
      <c r="P12" s="445"/>
      <c r="Q12" s="445"/>
      <c r="R12" s="445"/>
      <c r="S12" s="445"/>
      <c r="T12" s="452"/>
      <c r="U12" s="445"/>
      <c r="V12" s="445"/>
      <c r="W12" s="442"/>
      <c r="X12" s="442"/>
      <c r="Y12" s="445"/>
      <c r="Z12" s="445"/>
      <c r="AA12" s="445"/>
      <c r="AB12" s="445"/>
      <c r="AC12" s="445"/>
      <c r="AD12" s="442"/>
      <c r="AE12" s="445"/>
      <c r="AF12" s="445"/>
      <c r="AG12" s="445"/>
      <c r="AH12" s="445"/>
      <c r="AI12" s="445"/>
      <c r="AJ12" s="445"/>
      <c r="AK12" s="445"/>
      <c r="AL12" s="445"/>
      <c r="AM12" s="445"/>
    </row>
    <row r="13" spans="1:256" ht="12.75" customHeight="1">
      <c r="A13" s="447"/>
      <c r="B13" s="440"/>
      <c r="C13" s="460"/>
      <c r="D13" s="440"/>
      <c r="E13" s="445"/>
      <c r="F13" s="445"/>
      <c r="G13" s="445"/>
      <c r="H13" s="445"/>
      <c r="I13" s="445"/>
      <c r="J13" s="449"/>
      <c r="K13" s="445"/>
      <c r="L13" s="445"/>
      <c r="M13" s="445"/>
      <c r="N13" s="445"/>
      <c r="O13" s="445"/>
      <c r="P13" s="445"/>
      <c r="Q13" s="445"/>
      <c r="R13" s="445"/>
      <c r="S13" s="445"/>
      <c r="T13" s="452"/>
      <c r="U13" s="445"/>
      <c r="V13" s="445"/>
      <c r="W13" s="442"/>
      <c r="X13" s="442"/>
      <c r="Y13" s="445"/>
      <c r="Z13" s="445"/>
      <c r="AA13" s="445"/>
      <c r="AB13" s="445"/>
      <c r="AC13" s="445"/>
      <c r="AD13" s="442"/>
      <c r="AE13" s="445"/>
      <c r="AF13" s="445"/>
      <c r="AG13" s="445"/>
      <c r="AH13" s="445"/>
      <c r="AI13" s="445"/>
      <c r="AJ13" s="445"/>
      <c r="AK13" s="445"/>
      <c r="AL13" s="445"/>
      <c r="AM13" s="445"/>
    </row>
    <row r="14" spans="1:256" ht="25.5" customHeight="1" thickBot="1">
      <c r="A14" s="447"/>
      <c r="B14" s="440"/>
      <c r="C14" s="461"/>
      <c r="D14" s="440"/>
      <c r="E14" s="446"/>
      <c r="F14" s="446"/>
      <c r="G14" s="446"/>
      <c r="H14" s="446"/>
      <c r="I14" s="446"/>
      <c r="J14" s="450"/>
      <c r="K14" s="446"/>
      <c r="L14" s="446"/>
      <c r="M14" s="446"/>
      <c r="N14" s="446"/>
      <c r="O14" s="446"/>
      <c r="P14" s="446"/>
      <c r="Q14" s="446"/>
      <c r="R14" s="446"/>
      <c r="S14" s="446"/>
      <c r="T14" s="453"/>
      <c r="U14" s="446"/>
      <c r="V14" s="446"/>
      <c r="W14" s="443"/>
      <c r="X14" s="443"/>
      <c r="Y14" s="446"/>
      <c r="Z14" s="446"/>
      <c r="AA14" s="446"/>
      <c r="AB14" s="446"/>
      <c r="AC14" s="446"/>
      <c r="AD14" s="443"/>
      <c r="AE14" s="446"/>
      <c r="AF14" s="446"/>
      <c r="AG14" s="446"/>
      <c r="AH14" s="446"/>
      <c r="AI14" s="446"/>
      <c r="AJ14" s="446"/>
      <c r="AK14" s="446"/>
      <c r="AL14" s="446"/>
      <c r="AM14" s="446"/>
    </row>
    <row r="15" spans="1:256" ht="13.5" customHeight="1" thickBot="1">
      <c r="A15" s="447"/>
      <c r="B15" s="145"/>
      <c r="C15" s="89" t="s">
        <v>344</v>
      </c>
      <c r="D15" s="159" t="s">
        <v>256</v>
      </c>
      <c r="E15" s="292" t="s">
        <v>141</v>
      </c>
      <c r="F15" s="292" t="s">
        <v>142</v>
      </c>
      <c r="G15" s="292" t="s">
        <v>141</v>
      </c>
      <c r="H15" s="292" t="s">
        <v>142</v>
      </c>
      <c r="I15" s="292" t="s">
        <v>141</v>
      </c>
      <c r="J15" s="292" t="s">
        <v>142</v>
      </c>
      <c r="K15" s="292" t="s">
        <v>141</v>
      </c>
      <c r="L15" s="292" t="s">
        <v>141</v>
      </c>
      <c r="M15" s="292" t="s">
        <v>141</v>
      </c>
      <c r="N15" s="292" t="s">
        <v>141</v>
      </c>
      <c r="O15" s="292" t="s">
        <v>141</v>
      </c>
      <c r="P15" s="292" t="s">
        <v>141</v>
      </c>
      <c r="Q15" s="292" t="s">
        <v>141</v>
      </c>
      <c r="R15" s="292" t="s">
        <v>141</v>
      </c>
      <c r="S15" s="292" t="s">
        <v>141</v>
      </c>
      <c r="T15" s="292" t="s">
        <v>141</v>
      </c>
      <c r="U15" s="292" t="s">
        <v>141</v>
      </c>
      <c r="V15" s="292" t="s">
        <v>141</v>
      </c>
      <c r="W15" s="292" t="s">
        <v>141</v>
      </c>
      <c r="X15" s="292" t="s">
        <v>141</v>
      </c>
      <c r="Y15" s="292" t="s">
        <v>141</v>
      </c>
      <c r="Z15" s="292" t="s">
        <v>142</v>
      </c>
      <c r="AA15" s="292" t="s">
        <v>142</v>
      </c>
      <c r="AB15" s="292" t="s">
        <v>141</v>
      </c>
      <c r="AC15" s="292" t="s">
        <v>141</v>
      </c>
      <c r="AD15" s="292" t="s">
        <v>142</v>
      </c>
      <c r="AE15" s="292" t="s">
        <v>142</v>
      </c>
      <c r="AF15" s="292" t="s">
        <v>142</v>
      </c>
      <c r="AG15" s="292" t="s">
        <v>141</v>
      </c>
      <c r="AH15" s="292" t="s">
        <v>141</v>
      </c>
      <c r="AI15" s="292" t="s">
        <v>141</v>
      </c>
      <c r="AJ15" s="292" t="s">
        <v>141</v>
      </c>
      <c r="AK15" s="292" t="s">
        <v>142</v>
      </c>
      <c r="AL15" s="292" t="s">
        <v>141</v>
      </c>
      <c r="AM15" s="292" t="s">
        <v>142</v>
      </c>
    </row>
    <row r="16" spans="1:256" ht="15" customHeight="1" thickBot="1">
      <c r="A16" s="447"/>
      <c r="B16" s="146"/>
      <c r="C16" s="89" t="s">
        <v>345</v>
      </c>
      <c r="D16" s="159" t="s">
        <v>343</v>
      </c>
      <c r="E16" s="292" t="s">
        <v>151</v>
      </c>
      <c r="F16" s="292" t="s">
        <v>141</v>
      </c>
      <c r="G16" s="292" t="s">
        <v>140</v>
      </c>
      <c r="H16" s="292" t="s">
        <v>141</v>
      </c>
      <c r="I16" s="292" t="s">
        <v>151</v>
      </c>
      <c r="J16" s="292" t="s">
        <v>151</v>
      </c>
      <c r="K16" s="292" t="s">
        <v>151</v>
      </c>
      <c r="L16" s="292" t="s">
        <v>151</v>
      </c>
      <c r="M16" s="292" t="s">
        <v>151</v>
      </c>
      <c r="N16" s="292" t="s">
        <v>151</v>
      </c>
      <c r="O16" s="292" t="s">
        <v>151</v>
      </c>
      <c r="P16" s="292" t="s">
        <v>151</v>
      </c>
      <c r="Q16" s="292" t="s">
        <v>151</v>
      </c>
      <c r="R16" s="292" t="s">
        <v>151</v>
      </c>
      <c r="S16" s="292" t="s">
        <v>151</v>
      </c>
      <c r="T16" s="292" t="s">
        <v>151</v>
      </c>
      <c r="U16" s="292" t="s">
        <v>151</v>
      </c>
      <c r="V16" s="292" t="s">
        <v>151</v>
      </c>
      <c r="W16" s="292" t="s">
        <v>151</v>
      </c>
      <c r="X16" s="292" t="s">
        <v>151</v>
      </c>
      <c r="Y16" s="292" t="s">
        <v>151</v>
      </c>
      <c r="Z16" s="292" t="s">
        <v>151</v>
      </c>
      <c r="AA16" s="292" t="s">
        <v>151</v>
      </c>
      <c r="AB16" s="292" t="s">
        <v>151</v>
      </c>
      <c r="AC16" s="292" t="s">
        <v>151</v>
      </c>
      <c r="AD16" s="292" t="s">
        <v>141</v>
      </c>
      <c r="AE16" s="292" t="s">
        <v>141</v>
      </c>
      <c r="AF16" s="292" t="s">
        <v>151</v>
      </c>
      <c r="AG16" s="292" t="s">
        <v>151</v>
      </c>
      <c r="AH16" s="292" t="s">
        <v>151</v>
      </c>
      <c r="AI16" s="292" t="s">
        <v>151</v>
      </c>
      <c r="AJ16" s="292" t="s">
        <v>151</v>
      </c>
      <c r="AK16" s="292" t="s">
        <v>151</v>
      </c>
      <c r="AL16" s="292" t="s">
        <v>151</v>
      </c>
      <c r="AM16" s="292" t="s">
        <v>141</v>
      </c>
    </row>
    <row r="17" spans="1:39" ht="15" customHeight="1" thickBot="1">
      <c r="A17" s="447"/>
      <c r="B17" s="146"/>
      <c r="C17" s="89" t="s">
        <v>466</v>
      </c>
      <c r="D17" s="159" t="s">
        <v>557</v>
      </c>
      <c r="E17" s="292" t="s">
        <v>140</v>
      </c>
      <c r="F17" s="292" t="s">
        <v>144</v>
      </c>
      <c r="G17" s="292" t="s">
        <v>140</v>
      </c>
      <c r="H17" s="292" t="s">
        <v>144</v>
      </c>
      <c r="I17" s="292" t="s">
        <v>144</v>
      </c>
      <c r="J17" s="292" t="s">
        <v>144</v>
      </c>
      <c r="K17" s="292" t="s">
        <v>144</v>
      </c>
      <c r="L17" s="292" t="s">
        <v>144</v>
      </c>
      <c r="M17" s="292" t="s">
        <v>144</v>
      </c>
      <c r="N17" s="292" t="s">
        <v>144</v>
      </c>
      <c r="O17" s="292" t="s">
        <v>144</v>
      </c>
      <c r="P17" s="292" t="s">
        <v>144</v>
      </c>
      <c r="Q17" s="292" t="s">
        <v>144</v>
      </c>
      <c r="R17" s="292" t="s">
        <v>140</v>
      </c>
      <c r="S17" s="292" t="s">
        <v>144</v>
      </c>
      <c r="T17" s="292" t="s">
        <v>140</v>
      </c>
      <c r="U17" s="292" t="s">
        <v>140</v>
      </c>
      <c r="V17" s="292" t="s">
        <v>144</v>
      </c>
      <c r="W17" s="292" t="s">
        <v>144</v>
      </c>
      <c r="X17" s="292" t="s">
        <v>140</v>
      </c>
      <c r="Y17" s="292" t="s">
        <v>142</v>
      </c>
      <c r="Z17" s="292" t="s">
        <v>140</v>
      </c>
      <c r="AA17" s="292" t="s">
        <v>140</v>
      </c>
      <c r="AB17" s="292" t="s">
        <v>144</v>
      </c>
      <c r="AC17" s="292" t="s">
        <v>140</v>
      </c>
      <c r="AD17" s="292" t="s">
        <v>144</v>
      </c>
      <c r="AE17" s="292" t="s">
        <v>144</v>
      </c>
      <c r="AF17" s="292" t="s">
        <v>144</v>
      </c>
      <c r="AG17" s="292" t="s">
        <v>144</v>
      </c>
      <c r="AH17" s="292" t="s">
        <v>142</v>
      </c>
      <c r="AI17" s="292" t="s">
        <v>144</v>
      </c>
      <c r="AJ17" s="292" t="s">
        <v>140</v>
      </c>
      <c r="AK17" s="292" t="s">
        <v>144</v>
      </c>
      <c r="AL17" s="292" t="s">
        <v>144</v>
      </c>
      <c r="AM17" s="292" t="s">
        <v>144</v>
      </c>
    </row>
    <row r="18" spans="1:39" ht="15" customHeight="1" thickBot="1">
      <c r="A18" s="447"/>
      <c r="B18" s="146"/>
      <c r="C18" s="89" t="s">
        <v>346</v>
      </c>
      <c r="D18" s="159" t="s">
        <v>347</v>
      </c>
      <c r="E18" s="292" t="s">
        <v>151</v>
      </c>
      <c r="F18" s="292" t="s">
        <v>151</v>
      </c>
      <c r="G18" s="292" t="s">
        <v>151</v>
      </c>
      <c r="H18" s="292" t="s">
        <v>151</v>
      </c>
      <c r="I18" s="292" t="s">
        <v>151</v>
      </c>
      <c r="J18" s="292" t="s">
        <v>151</v>
      </c>
      <c r="K18" s="292" t="s">
        <v>151</v>
      </c>
      <c r="L18" s="292" t="s">
        <v>140</v>
      </c>
      <c r="M18" s="292" t="s">
        <v>151</v>
      </c>
      <c r="N18" s="292" t="s">
        <v>151</v>
      </c>
      <c r="O18" s="292" t="s">
        <v>140</v>
      </c>
      <c r="P18" s="292" t="s">
        <v>151</v>
      </c>
      <c r="Q18" s="292" t="s">
        <v>151</v>
      </c>
      <c r="R18" s="292" t="s">
        <v>151</v>
      </c>
      <c r="S18" s="292" t="s">
        <v>140</v>
      </c>
      <c r="T18" s="292" t="s">
        <v>151</v>
      </c>
      <c r="U18" s="292" t="s">
        <v>140</v>
      </c>
      <c r="V18" s="292" t="s">
        <v>140</v>
      </c>
      <c r="W18" s="292" t="s">
        <v>140</v>
      </c>
      <c r="X18" s="292" t="s">
        <v>151</v>
      </c>
      <c r="Y18" s="292" t="s">
        <v>151</v>
      </c>
      <c r="Z18" s="292" t="s">
        <v>151</v>
      </c>
      <c r="AA18" s="292" t="s">
        <v>151</v>
      </c>
      <c r="AB18" s="292" t="s">
        <v>154</v>
      </c>
      <c r="AC18" s="292" t="s">
        <v>151</v>
      </c>
      <c r="AD18" s="292" t="s">
        <v>151</v>
      </c>
      <c r="AE18" s="292" t="s">
        <v>151</v>
      </c>
      <c r="AF18" s="292" t="s">
        <v>151</v>
      </c>
      <c r="AG18" s="292" t="s">
        <v>140</v>
      </c>
      <c r="AH18" s="292" t="s">
        <v>151</v>
      </c>
      <c r="AI18" s="292" t="s">
        <v>140</v>
      </c>
      <c r="AJ18" s="292" t="s">
        <v>151</v>
      </c>
      <c r="AK18" s="292" t="s">
        <v>140</v>
      </c>
      <c r="AL18" s="292" t="s">
        <v>154</v>
      </c>
      <c r="AM18" s="292" t="s">
        <v>151</v>
      </c>
    </row>
    <row r="19" spans="1:39" ht="15" customHeight="1" thickBot="1">
      <c r="A19" s="447"/>
      <c r="B19" s="146"/>
      <c r="C19" s="89" t="s">
        <v>348</v>
      </c>
      <c r="D19" s="159" t="s">
        <v>349</v>
      </c>
      <c r="E19" s="292" t="s">
        <v>142</v>
      </c>
      <c r="F19" s="292" t="s">
        <v>140</v>
      </c>
      <c r="G19" s="292" t="s">
        <v>142</v>
      </c>
      <c r="H19" s="292" t="s">
        <v>140</v>
      </c>
      <c r="I19" s="292" t="s">
        <v>140</v>
      </c>
      <c r="J19" s="292" t="s">
        <v>140</v>
      </c>
      <c r="K19" s="292" t="s">
        <v>140</v>
      </c>
      <c r="L19" s="292" t="s">
        <v>140</v>
      </c>
      <c r="M19" s="292" t="s">
        <v>140</v>
      </c>
      <c r="N19" s="292" t="s">
        <v>140</v>
      </c>
      <c r="O19" s="292" t="s">
        <v>140</v>
      </c>
      <c r="P19" s="292" t="s">
        <v>140</v>
      </c>
      <c r="Q19" s="292" t="s">
        <v>140</v>
      </c>
      <c r="R19" s="292" t="s">
        <v>144</v>
      </c>
      <c r="S19" s="292" t="s">
        <v>140</v>
      </c>
      <c r="T19" s="292" t="s">
        <v>140</v>
      </c>
      <c r="U19" s="292" t="s">
        <v>142</v>
      </c>
      <c r="V19" s="292" t="s">
        <v>140</v>
      </c>
      <c r="W19" s="292" t="s">
        <v>140</v>
      </c>
      <c r="X19" s="292" t="s">
        <v>142</v>
      </c>
      <c r="Y19" s="292" t="s">
        <v>140</v>
      </c>
      <c r="Z19" s="292" t="s">
        <v>154</v>
      </c>
      <c r="AA19" s="292" t="s">
        <v>140</v>
      </c>
      <c r="AB19" s="292" t="s">
        <v>140</v>
      </c>
      <c r="AC19" s="292" t="s">
        <v>140</v>
      </c>
      <c r="AD19" s="292" t="s">
        <v>140</v>
      </c>
      <c r="AE19" s="292" t="s">
        <v>140</v>
      </c>
      <c r="AF19" s="292" t="s">
        <v>140</v>
      </c>
      <c r="AG19" s="292" t="s">
        <v>140</v>
      </c>
      <c r="AH19" s="292" t="s">
        <v>140</v>
      </c>
      <c r="AI19" s="292" t="s">
        <v>140</v>
      </c>
      <c r="AJ19" s="292" t="s">
        <v>140</v>
      </c>
      <c r="AK19" s="292" t="s">
        <v>140</v>
      </c>
      <c r="AL19" s="292" t="s">
        <v>140</v>
      </c>
      <c r="AM19" s="292" t="s">
        <v>140</v>
      </c>
    </row>
    <row r="20" spans="1:39" ht="15" customHeight="1" thickBot="1">
      <c r="A20" s="447"/>
      <c r="B20" s="146"/>
      <c r="C20" s="89" t="s">
        <v>350</v>
      </c>
      <c r="D20" s="159" t="s">
        <v>352</v>
      </c>
      <c r="E20" s="292" t="s">
        <v>140</v>
      </c>
      <c r="F20" s="292" t="s">
        <v>140</v>
      </c>
      <c r="G20" s="292" t="s">
        <v>154</v>
      </c>
      <c r="H20" s="292" t="s">
        <v>140</v>
      </c>
      <c r="I20" s="292" t="s">
        <v>142</v>
      </c>
      <c r="J20" s="292" t="s">
        <v>140</v>
      </c>
      <c r="K20" s="292" t="s">
        <v>142</v>
      </c>
      <c r="L20" s="292" t="s">
        <v>140</v>
      </c>
      <c r="M20" s="292" t="s">
        <v>142</v>
      </c>
      <c r="N20" s="292" t="s">
        <v>140</v>
      </c>
      <c r="O20" s="292" t="s">
        <v>140</v>
      </c>
      <c r="P20" s="292" t="s">
        <v>140</v>
      </c>
      <c r="Q20" s="292" t="s">
        <v>142</v>
      </c>
      <c r="R20" s="292" t="s">
        <v>140</v>
      </c>
      <c r="S20" s="292" t="s">
        <v>140</v>
      </c>
      <c r="T20" s="292" t="s">
        <v>140</v>
      </c>
      <c r="U20" s="292" t="s">
        <v>154</v>
      </c>
      <c r="V20" s="292" t="s">
        <v>142</v>
      </c>
      <c r="W20" s="292" t="s">
        <v>142</v>
      </c>
      <c r="X20" s="292" t="s">
        <v>140</v>
      </c>
      <c r="Y20" s="292" t="s">
        <v>154</v>
      </c>
      <c r="Z20" s="292" t="s">
        <v>154</v>
      </c>
      <c r="AA20" s="292" t="s">
        <v>154</v>
      </c>
      <c r="AB20" s="292" t="s">
        <v>140</v>
      </c>
      <c r="AC20" s="292" t="s">
        <v>140</v>
      </c>
      <c r="AD20" s="292" t="s">
        <v>140</v>
      </c>
      <c r="AE20" s="292" t="s">
        <v>140</v>
      </c>
      <c r="AF20" s="292" t="s">
        <v>154</v>
      </c>
      <c r="AG20" s="292" t="s">
        <v>140</v>
      </c>
      <c r="AH20" s="292" t="s">
        <v>154</v>
      </c>
      <c r="AI20" s="292" t="s">
        <v>140</v>
      </c>
      <c r="AJ20" s="292" t="s">
        <v>140</v>
      </c>
      <c r="AK20" s="292" t="s">
        <v>154</v>
      </c>
      <c r="AL20" s="292" t="s">
        <v>151</v>
      </c>
      <c r="AM20" s="292" t="s">
        <v>140</v>
      </c>
    </row>
    <row r="21" spans="1:39" ht="14.4" thickBot="1">
      <c r="A21" s="447"/>
      <c r="B21" s="146"/>
      <c r="C21" s="89" t="s">
        <v>351</v>
      </c>
      <c r="D21" s="159" t="s">
        <v>352</v>
      </c>
      <c r="E21" s="292" t="s">
        <v>140</v>
      </c>
      <c r="F21" s="292" t="s">
        <v>140</v>
      </c>
      <c r="G21" s="292" t="s">
        <v>154</v>
      </c>
      <c r="H21" s="292" t="s">
        <v>140</v>
      </c>
      <c r="I21" s="292" t="s">
        <v>154</v>
      </c>
      <c r="J21" s="292" t="s">
        <v>140</v>
      </c>
      <c r="K21" s="292" t="s">
        <v>154</v>
      </c>
      <c r="L21" s="292" t="s">
        <v>140</v>
      </c>
      <c r="M21" s="292" t="s">
        <v>154</v>
      </c>
      <c r="N21" s="292" t="s">
        <v>140</v>
      </c>
      <c r="O21" s="292" t="s">
        <v>140</v>
      </c>
      <c r="P21" s="292" t="s">
        <v>140</v>
      </c>
      <c r="Q21" s="292" t="s">
        <v>154</v>
      </c>
      <c r="R21" s="292" t="s">
        <v>140</v>
      </c>
      <c r="S21" s="292" t="s">
        <v>140</v>
      </c>
      <c r="T21" s="292" t="s">
        <v>140</v>
      </c>
      <c r="U21" s="292" t="s">
        <v>154</v>
      </c>
      <c r="V21" s="292" t="s">
        <v>154</v>
      </c>
      <c r="W21" s="292" t="s">
        <v>154</v>
      </c>
      <c r="X21" s="292" t="s">
        <v>140</v>
      </c>
      <c r="Y21" s="292" t="s">
        <v>154</v>
      </c>
      <c r="Z21" s="292" t="s">
        <v>154</v>
      </c>
      <c r="AA21" s="292" t="s">
        <v>154</v>
      </c>
      <c r="AB21" s="292" t="s">
        <v>140</v>
      </c>
      <c r="AC21" s="292" t="s">
        <v>140</v>
      </c>
      <c r="AD21" s="292" t="s">
        <v>140</v>
      </c>
      <c r="AE21" s="292" t="s">
        <v>140</v>
      </c>
      <c r="AF21" s="292" t="s">
        <v>154</v>
      </c>
      <c r="AG21" s="292" t="s">
        <v>140</v>
      </c>
      <c r="AH21" s="292" t="s">
        <v>154</v>
      </c>
      <c r="AI21" s="292" t="s">
        <v>140</v>
      </c>
      <c r="AJ21" s="292" t="s">
        <v>140</v>
      </c>
      <c r="AK21" s="292" t="s">
        <v>154</v>
      </c>
      <c r="AL21" s="292" t="s">
        <v>151</v>
      </c>
      <c r="AM21" s="292" t="s">
        <v>140</v>
      </c>
    </row>
    <row r="22" spans="1:39" ht="15" customHeight="1" thickBot="1">
      <c r="A22" s="447"/>
      <c r="B22" s="146"/>
      <c r="C22" s="89" t="s">
        <v>353</v>
      </c>
      <c r="D22" s="159" t="s">
        <v>354</v>
      </c>
      <c r="E22" s="292" t="s">
        <v>140</v>
      </c>
      <c r="F22" s="292" t="s">
        <v>151</v>
      </c>
      <c r="G22" s="292" t="s">
        <v>140</v>
      </c>
      <c r="H22" s="292" t="s">
        <v>140</v>
      </c>
      <c r="I22" s="292" t="s">
        <v>140</v>
      </c>
      <c r="J22" s="292" t="s">
        <v>140</v>
      </c>
      <c r="K22" s="292" t="s">
        <v>140</v>
      </c>
      <c r="L22" s="292" t="s">
        <v>142</v>
      </c>
      <c r="M22" s="292" t="s">
        <v>140</v>
      </c>
      <c r="N22" s="292" t="s">
        <v>140</v>
      </c>
      <c r="O22" s="292" t="s">
        <v>142</v>
      </c>
      <c r="P22" s="292" t="s">
        <v>142</v>
      </c>
      <c r="Q22" s="292" t="s">
        <v>140</v>
      </c>
      <c r="R22" s="292" t="s">
        <v>140</v>
      </c>
      <c r="S22" s="292" t="s">
        <v>142</v>
      </c>
      <c r="T22" s="292" t="s">
        <v>140</v>
      </c>
      <c r="U22" s="292" t="s">
        <v>140</v>
      </c>
      <c r="V22" s="292" t="s">
        <v>140</v>
      </c>
      <c r="W22" s="292" t="s">
        <v>154</v>
      </c>
      <c r="X22" s="292" t="s">
        <v>140</v>
      </c>
      <c r="Y22" s="292" t="s">
        <v>140</v>
      </c>
      <c r="Z22" s="292" t="s">
        <v>140</v>
      </c>
      <c r="AA22" s="292" t="s">
        <v>140</v>
      </c>
      <c r="AB22" s="292" t="s">
        <v>142</v>
      </c>
      <c r="AC22" s="292" t="s">
        <v>140</v>
      </c>
      <c r="AD22" s="292" t="s">
        <v>140</v>
      </c>
      <c r="AE22" s="292" t="s">
        <v>140</v>
      </c>
      <c r="AF22" s="292" t="s">
        <v>140</v>
      </c>
      <c r="AG22" s="292" t="s">
        <v>142</v>
      </c>
      <c r="AH22" s="292" t="s">
        <v>140</v>
      </c>
      <c r="AI22" s="292" t="s">
        <v>142</v>
      </c>
      <c r="AJ22" s="292" t="s">
        <v>140</v>
      </c>
      <c r="AK22" s="292" t="s">
        <v>140</v>
      </c>
      <c r="AL22" s="292" t="s">
        <v>142</v>
      </c>
      <c r="AM22" s="292" t="s">
        <v>140</v>
      </c>
    </row>
    <row r="23" spans="1:39" ht="15" customHeight="1" thickBot="1">
      <c r="A23" s="447"/>
      <c r="B23" s="146"/>
      <c r="C23" s="89" t="s">
        <v>355</v>
      </c>
      <c r="D23" s="159" t="s">
        <v>356</v>
      </c>
      <c r="E23" s="292" t="s">
        <v>140</v>
      </c>
      <c r="F23" s="292" t="s">
        <v>151</v>
      </c>
      <c r="G23" s="292" t="s">
        <v>154</v>
      </c>
      <c r="H23" s="292" t="s">
        <v>140</v>
      </c>
      <c r="I23" s="292" t="s">
        <v>154</v>
      </c>
      <c r="J23" s="292" t="s">
        <v>154</v>
      </c>
      <c r="K23" s="292" t="s">
        <v>154</v>
      </c>
      <c r="L23" s="292" t="s">
        <v>154</v>
      </c>
      <c r="M23" s="292" t="s">
        <v>154</v>
      </c>
      <c r="N23" s="292" t="s">
        <v>140</v>
      </c>
      <c r="O23" s="292" t="s">
        <v>151</v>
      </c>
      <c r="P23" s="292" t="s">
        <v>151</v>
      </c>
      <c r="Q23" s="292" t="s">
        <v>154</v>
      </c>
      <c r="R23" s="292" t="s">
        <v>154</v>
      </c>
      <c r="S23" s="292" t="s">
        <v>151</v>
      </c>
      <c r="T23" s="292" t="s">
        <v>140</v>
      </c>
      <c r="U23" s="292" t="s">
        <v>154</v>
      </c>
      <c r="V23" s="292" t="s">
        <v>154</v>
      </c>
      <c r="W23" s="292" t="s">
        <v>154</v>
      </c>
      <c r="X23" s="292" t="s">
        <v>154</v>
      </c>
      <c r="Y23" s="292" t="s">
        <v>154</v>
      </c>
      <c r="Z23" s="292" t="s">
        <v>154</v>
      </c>
      <c r="AA23" s="292" t="s">
        <v>154</v>
      </c>
      <c r="AB23" s="292" t="s">
        <v>154</v>
      </c>
      <c r="AC23" s="292" t="s">
        <v>154</v>
      </c>
      <c r="AD23" s="292" t="s">
        <v>140</v>
      </c>
      <c r="AE23" s="292" t="s">
        <v>140</v>
      </c>
      <c r="AF23" s="292" t="s">
        <v>154</v>
      </c>
      <c r="AG23" s="292" t="s">
        <v>151</v>
      </c>
      <c r="AH23" s="292" t="s">
        <v>154</v>
      </c>
      <c r="AI23" s="292" t="s">
        <v>151</v>
      </c>
      <c r="AJ23" s="292" t="s">
        <v>154</v>
      </c>
      <c r="AK23" s="292" t="s">
        <v>154</v>
      </c>
      <c r="AL23" s="292" t="s">
        <v>151</v>
      </c>
      <c r="AM23" s="292" t="s">
        <v>151</v>
      </c>
    </row>
    <row r="24" spans="1:39" ht="15" customHeight="1" thickBot="1">
      <c r="A24" s="447"/>
      <c r="B24" s="146"/>
      <c r="C24" s="89" t="s">
        <v>357</v>
      </c>
      <c r="D24" s="159" t="s">
        <v>359</v>
      </c>
      <c r="E24" s="292" t="s">
        <v>144</v>
      </c>
      <c r="F24" s="292" t="s">
        <v>154</v>
      </c>
      <c r="G24" s="292" t="s">
        <v>144</v>
      </c>
      <c r="H24" s="292" t="s">
        <v>154</v>
      </c>
      <c r="I24" s="292" t="s">
        <v>154</v>
      </c>
      <c r="J24" s="292" t="s">
        <v>154</v>
      </c>
      <c r="K24" s="292" t="s">
        <v>140</v>
      </c>
      <c r="L24" s="292" t="s">
        <v>140</v>
      </c>
      <c r="M24" s="292" t="s">
        <v>140</v>
      </c>
      <c r="N24" s="292" t="s">
        <v>142</v>
      </c>
      <c r="O24" s="292" t="s">
        <v>140</v>
      </c>
      <c r="P24" s="292" t="s">
        <v>140</v>
      </c>
      <c r="Q24" s="292" t="s">
        <v>140</v>
      </c>
      <c r="R24" s="292" t="s">
        <v>142</v>
      </c>
      <c r="S24" s="292" t="s">
        <v>154</v>
      </c>
      <c r="T24" s="292" t="s">
        <v>142</v>
      </c>
      <c r="U24" s="292" t="s">
        <v>154</v>
      </c>
      <c r="V24" s="292" t="s">
        <v>154</v>
      </c>
      <c r="W24" s="292" t="s">
        <v>140</v>
      </c>
      <c r="X24" s="292" t="s">
        <v>154</v>
      </c>
      <c r="Y24" s="292" t="s">
        <v>144</v>
      </c>
      <c r="Z24" s="292" t="s">
        <v>151</v>
      </c>
      <c r="AA24" s="292" t="s">
        <v>151</v>
      </c>
      <c r="AB24" s="292" t="s">
        <v>151</v>
      </c>
      <c r="AC24" s="292" t="s">
        <v>142</v>
      </c>
      <c r="AD24" s="292" t="s">
        <v>154</v>
      </c>
      <c r="AE24" s="292" t="s">
        <v>154</v>
      </c>
      <c r="AF24" s="292" t="s">
        <v>140</v>
      </c>
      <c r="AG24" s="292" t="s">
        <v>140</v>
      </c>
      <c r="AH24" s="292" t="s">
        <v>140</v>
      </c>
      <c r="AI24" s="292" t="s">
        <v>140</v>
      </c>
      <c r="AJ24" s="292" t="s">
        <v>142</v>
      </c>
      <c r="AK24" s="292" t="s">
        <v>140</v>
      </c>
      <c r="AL24" s="292" t="s">
        <v>140</v>
      </c>
      <c r="AM24" s="292" t="s">
        <v>154</v>
      </c>
    </row>
    <row r="25" spans="1:39" ht="14.4" thickBot="1">
      <c r="A25" s="447"/>
      <c r="B25" s="146"/>
      <c r="C25" s="89" t="s">
        <v>358</v>
      </c>
      <c r="D25" s="159" t="s">
        <v>359</v>
      </c>
      <c r="E25" s="292" t="s">
        <v>154</v>
      </c>
      <c r="F25" s="292" t="s">
        <v>154</v>
      </c>
      <c r="G25" s="292" t="s">
        <v>154</v>
      </c>
      <c r="H25" s="292" t="s">
        <v>154</v>
      </c>
      <c r="I25" s="292" t="s">
        <v>154</v>
      </c>
      <c r="J25" s="292" t="s">
        <v>154</v>
      </c>
      <c r="K25" s="292" t="s">
        <v>140</v>
      </c>
      <c r="L25" s="292" t="s">
        <v>140</v>
      </c>
      <c r="M25" s="292" t="s">
        <v>140</v>
      </c>
      <c r="N25" s="292" t="s">
        <v>154</v>
      </c>
      <c r="O25" s="292" t="s">
        <v>140</v>
      </c>
      <c r="P25" s="292" t="s">
        <v>140</v>
      </c>
      <c r="Q25" s="292" t="s">
        <v>140</v>
      </c>
      <c r="R25" s="292" t="s">
        <v>154</v>
      </c>
      <c r="S25" s="292" t="s">
        <v>154</v>
      </c>
      <c r="T25" s="292" t="s">
        <v>144</v>
      </c>
      <c r="U25" s="292" t="s">
        <v>154</v>
      </c>
      <c r="V25" s="292" t="s">
        <v>154</v>
      </c>
      <c r="W25" s="292" t="s">
        <v>140</v>
      </c>
      <c r="X25" s="292" t="s">
        <v>154</v>
      </c>
      <c r="Y25" s="292" t="s">
        <v>154</v>
      </c>
      <c r="Z25" s="292" t="s">
        <v>151</v>
      </c>
      <c r="AA25" s="292" t="s">
        <v>151</v>
      </c>
      <c r="AB25" s="292" t="s">
        <v>151</v>
      </c>
      <c r="AC25" s="292" t="s">
        <v>144</v>
      </c>
      <c r="AD25" s="292" t="s">
        <v>154</v>
      </c>
      <c r="AE25" s="292" t="s">
        <v>154</v>
      </c>
      <c r="AF25" s="292" t="s">
        <v>140</v>
      </c>
      <c r="AG25" s="292" t="s">
        <v>140</v>
      </c>
      <c r="AH25" s="292" t="s">
        <v>140</v>
      </c>
      <c r="AI25" s="292" t="s">
        <v>140</v>
      </c>
      <c r="AJ25" s="292" t="s">
        <v>144</v>
      </c>
      <c r="AK25" s="292" t="s">
        <v>140</v>
      </c>
      <c r="AL25" s="292" t="s">
        <v>140</v>
      </c>
      <c r="AM25" s="292" t="s">
        <v>154</v>
      </c>
    </row>
    <row r="26" spans="1:39" ht="15" customHeight="1" thickBot="1">
      <c r="A26" s="447"/>
      <c r="B26" s="146"/>
      <c r="C26" s="89"/>
      <c r="D26" s="160"/>
      <c r="E26" s="66"/>
      <c r="F26" s="66"/>
      <c r="G26" s="66"/>
      <c r="H26" s="66"/>
      <c r="I26" s="66"/>
      <c r="J26" s="66"/>
      <c r="K26" s="66"/>
      <c r="L26" s="66"/>
      <c r="M26" s="66"/>
      <c r="N26" s="133"/>
      <c r="O26" s="133"/>
      <c r="P26" s="133"/>
      <c r="Q26" s="133"/>
      <c r="R26" s="66"/>
      <c r="S26" s="66"/>
      <c r="T26" s="144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</row>
    <row r="27" spans="1:39" ht="15" customHeight="1" thickBot="1">
      <c r="A27" s="40"/>
      <c r="B27" s="146"/>
      <c r="C27" s="89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133"/>
      <c r="O27" s="133"/>
      <c r="P27" s="133"/>
      <c r="Q27" s="133"/>
      <c r="R27" s="66"/>
      <c r="S27" s="66"/>
      <c r="T27" s="144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</row>
    <row r="28" spans="1:39" ht="15" customHeight="1" thickBot="1">
      <c r="A28" s="40"/>
      <c r="B28" s="146"/>
      <c r="C28" s="89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133"/>
      <c r="O28" s="133"/>
      <c r="P28" s="133"/>
      <c r="Q28" s="133"/>
      <c r="R28" s="66"/>
      <c r="S28" s="66"/>
      <c r="T28" s="144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</row>
    <row r="29" spans="1:39" ht="15" customHeight="1" thickBot="1">
      <c r="A29" s="40"/>
      <c r="B29" s="146"/>
      <c r="C29" s="89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133"/>
      <c r="O29" s="133"/>
      <c r="P29" s="133"/>
      <c r="Q29" s="133"/>
      <c r="R29" s="66"/>
      <c r="S29" s="66"/>
      <c r="T29" s="144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</row>
    <row r="30" spans="1:39" ht="18.75" customHeight="1" thickBot="1">
      <c r="A30" s="40"/>
      <c r="B30" s="146"/>
      <c r="C30" s="8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133"/>
      <c r="O30" s="133"/>
      <c r="P30" s="133"/>
      <c r="Q30" s="133"/>
      <c r="R30" s="66"/>
      <c r="S30" s="66"/>
      <c r="T30" s="144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</row>
    <row r="31" spans="1:39" ht="15" customHeight="1" thickBot="1">
      <c r="A31" s="40"/>
      <c r="B31" s="146"/>
      <c r="C31" s="89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133"/>
      <c r="O31" s="133"/>
      <c r="P31" s="133"/>
      <c r="Q31" s="133"/>
      <c r="R31" s="66"/>
      <c r="S31" s="66"/>
      <c r="T31" s="144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</row>
    <row r="32" spans="1:39" ht="15" customHeight="1" thickBot="1">
      <c r="A32" s="40"/>
      <c r="B32" s="146"/>
      <c r="C32" s="89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133"/>
      <c r="O32" s="133"/>
      <c r="P32" s="133"/>
      <c r="Q32" s="133"/>
      <c r="R32" s="66"/>
      <c r="S32" s="66"/>
      <c r="T32" s="144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</row>
    <row r="33" spans="1:256" ht="15" customHeight="1" thickBot="1">
      <c r="A33" s="40"/>
      <c r="B33" s="146"/>
      <c r="C33" s="89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133"/>
      <c r="O33" s="133"/>
      <c r="P33" s="133"/>
      <c r="Q33" s="133"/>
      <c r="R33" s="66"/>
      <c r="S33" s="66"/>
      <c r="T33" s="144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</row>
    <row r="34" spans="1:256" ht="15" customHeight="1" thickBot="1">
      <c r="A34" s="40"/>
      <c r="B34" s="146"/>
      <c r="C34" s="89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133"/>
      <c r="O34" s="133"/>
      <c r="P34" s="133"/>
      <c r="Q34" s="133"/>
      <c r="R34" s="66"/>
      <c r="S34" s="66"/>
      <c r="T34" s="144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</row>
    <row r="35" spans="1:256" ht="15" customHeight="1" thickBot="1">
      <c r="A35" s="40"/>
      <c r="B35" s="146"/>
      <c r="C35" s="89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133"/>
      <c r="O35" s="133"/>
      <c r="P35" s="133"/>
      <c r="Q35" s="133"/>
      <c r="R35" s="66"/>
      <c r="S35" s="66"/>
      <c r="T35" s="144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</row>
    <row r="36" spans="1:256" ht="15" customHeight="1" thickBot="1">
      <c r="A36" s="40"/>
      <c r="B36" s="146"/>
      <c r="C36" s="89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133"/>
      <c r="O36" s="133"/>
      <c r="P36" s="133"/>
      <c r="Q36" s="133"/>
      <c r="R36" s="66"/>
      <c r="S36" s="66"/>
      <c r="T36" s="144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</row>
    <row r="37" spans="1:256" ht="15" customHeight="1" thickBot="1">
      <c r="A37" s="40"/>
      <c r="B37" s="146"/>
      <c r="C37" s="89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133"/>
      <c r="O37" s="133"/>
      <c r="P37" s="133"/>
      <c r="Q37" s="133"/>
      <c r="R37" s="66"/>
      <c r="S37" s="66"/>
      <c r="T37" s="144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</row>
    <row r="38" spans="1:256" ht="15" customHeight="1" thickBot="1">
      <c r="A38" s="40"/>
      <c r="B38" s="146"/>
      <c r="C38" s="89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133"/>
      <c r="O38" s="133"/>
      <c r="P38" s="133"/>
      <c r="Q38" s="133"/>
      <c r="R38" s="66"/>
      <c r="S38" s="66"/>
      <c r="T38" s="144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</row>
    <row r="39" spans="1:256" ht="15" customHeight="1" thickBot="1">
      <c r="A39" s="40"/>
      <c r="B39" s="146"/>
      <c r="C39" s="89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133"/>
      <c r="O39" s="133"/>
      <c r="P39" s="133"/>
      <c r="Q39" s="133"/>
      <c r="R39" s="66"/>
      <c r="S39" s="66"/>
      <c r="T39" s="144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</row>
    <row r="40" spans="1:256" ht="15" customHeight="1" thickBot="1">
      <c r="A40" s="40"/>
      <c r="B40" s="146"/>
      <c r="C40" s="89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133"/>
      <c r="O40" s="133"/>
      <c r="P40" s="133"/>
      <c r="Q40" s="133"/>
      <c r="R40" s="66"/>
      <c r="S40" s="66"/>
      <c r="T40" s="144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</row>
    <row r="41" spans="1:256" ht="15" customHeight="1" thickBot="1">
      <c r="A41" s="40"/>
      <c r="B41" s="146"/>
      <c r="C41" s="89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133"/>
      <c r="O41" s="133"/>
      <c r="P41" s="133"/>
      <c r="Q41" s="133"/>
      <c r="R41" s="66"/>
      <c r="S41" s="66"/>
      <c r="T41" s="144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</row>
    <row r="42" spans="1:256" ht="15" customHeight="1" thickBot="1">
      <c r="A42" s="40"/>
      <c r="B42" s="146"/>
      <c r="C42" s="89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133"/>
      <c r="O42" s="133"/>
      <c r="P42" s="133"/>
      <c r="Q42" s="133"/>
      <c r="R42" s="66"/>
      <c r="S42" s="66"/>
      <c r="T42" s="144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</row>
    <row r="43" spans="1:256" ht="13.5" customHeight="1" thickBot="1">
      <c r="A43" s="40"/>
      <c r="B43" s="146"/>
      <c r="C43" s="89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133"/>
      <c r="O43" s="133"/>
      <c r="P43" s="133"/>
      <c r="Q43" s="133"/>
      <c r="R43" s="66"/>
      <c r="S43" s="66"/>
      <c r="T43" s="144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</row>
    <row r="44" spans="1:256" ht="13.5" customHeight="1" thickBot="1">
      <c r="A44" s="40"/>
      <c r="B44" s="146"/>
      <c r="C44" s="89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133"/>
      <c r="O44" s="133"/>
      <c r="P44" s="133"/>
      <c r="Q44" s="133"/>
      <c r="R44" s="66"/>
      <c r="S44" s="66"/>
      <c r="T44" s="144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</row>
    <row r="45" spans="1:256" ht="13.5" customHeight="1" thickBot="1">
      <c r="A45" s="40"/>
      <c r="B45" s="147"/>
      <c r="C45" s="89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133"/>
      <c r="O45" s="133"/>
      <c r="P45" s="133"/>
      <c r="Q45" s="133"/>
      <c r="R45" s="66"/>
      <c r="S45" s="66"/>
      <c r="T45" s="144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</row>
    <row r="46" spans="1:256">
      <c r="A46" s="4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1"/>
    </row>
    <row r="47" spans="1:256" ht="13.2" thickBot="1">
      <c r="A47" s="62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1"/>
    </row>
    <row r="48" spans="1:256" ht="14.25" customHeight="1" thickBot="1">
      <c r="IJ48" s="72"/>
      <c r="IK48" s="72"/>
      <c r="IL48" s="72"/>
      <c r="IM48" s="72"/>
      <c r="IN48" s="72"/>
      <c r="IO48" s="72"/>
      <c r="IP48" s="72"/>
      <c r="IQ48" s="72"/>
      <c r="IR48" s="72"/>
      <c r="IS48" s="72"/>
      <c r="IT48" s="72"/>
      <c r="IU48" s="72"/>
      <c r="IV48" s="72"/>
    </row>
    <row r="49" spans="2:256" ht="15.75" customHeight="1" thickBot="1">
      <c r="B49" s="454" t="s">
        <v>55</v>
      </c>
      <c r="C49" s="455"/>
      <c r="D49" s="456"/>
      <c r="IJ49" s="72"/>
      <c r="IK49" s="72"/>
      <c r="IL49" s="72"/>
      <c r="IM49" s="72"/>
      <c r="IN49" s="72"/>
      <c r="IO49" s="72"/>
      <c r="IP49" s="72"/>
      <c r="IQ49" s="72"/>
      <c r="IR49" s="72"/>
      <c r="IS49" s="72"/>
      <c r="IT49" s="72"/>
      <c r="IU49" s="72"/>
      <c r="IV49" s="72"/>
    </row>
    <row r="50" spans="2:256" ht="23.25" customHeight="1" thickBot="1">
      <c r="B50" s="150" t="s">
        <v>142</v>
      </c>
      <c r="C50" s="148" t="s">
        <v>50</v>
      </c>
      <c r="D50" s="149" t="s">
        <v>143</v>
      </c>
      <c r="IJ50" s="72"/>
      <c r="IK50" s="72"/>
      <c r="IL50" s="72"/>
      <c r="IM50" s="72"/>
      <c r="IN50" s="72"/>
      <c r="IO50" s="72"/>
      <c r="IP50" s="72"/>
      <c r="IQ50" s="72"/>
      <c r="IR50" s="72"/>
      <c r="IS50" s="72"/>
      <c r="IT50" s="72"/>
      <c r="IU50" s="72"/>
      <c r="IV50" s="72"/>
    </row>
    <row r="51" spans="2:256" ht="29.25" customHeight="1" thickBot="1">
      <c r="B51" s="151" t="s">
        <v>144</v>
      </c>
      <c r="C51" s="148" t="s">
        <v>145</v>
      </c>
      <c r="D51" s="149" t="s">
        <v>146</v>
      </c>
    </row>
    <row r="52" spans="2:256" ht="30.75" customHeight="1" thickBot="1">
      <c r="B52" s="152" t="s">
        <v>141</v>
      </c>
      <c r="C52" s="148" t="s">
        <v>147</v>
      </c>
      <c r="D52" s="149" t="s">
        <v>148</v>
      </c>
    </row>
    <row r="53" spans="2:256" ht="35.25" customHeight="1" thickBot="1">
      <c r="B53" s="152" t="s">
        <v>140</v>
      </c>
      <c r="C53" s="148" t="s">
        <v>149</v>
      </c>
      <c r="D53" s="149" t="s">
        <v>150</v>
      </c>
    </row>
    <row r="54" spans="2:256" ht="33" customHeight="1" thickBot="1">
      <c r="B54" s="152" t="s">
        <v>151</v>
      </c>
      <c r="C54" s="148" t="s">
        <v>152</v>
      </c>
      <c r="D54" s="149" t="s">
        <v>153</v>
      </c>
    </row>
    <row r="55" spans="2:256" ht="28.5" customHeight="1" thickBot="1">
      <c r="B55" s="152" t="s">
        <v>154</v>
      </c>
      <c r="C55" s="148" t="s">
        <v>155</v>
      </c>
      <c r="D55" s="149" t="s">
        <v>156</v>
      </c>
    </row>
    <row r="62" spans="2:256" ht="7.5" customHeight="1"/>
    <row r="66" ht="21" customHeight="1"/>
  </sheetData>
  <sheetProtection selectLockedCells="1" selectUnlockedCells="1"/>
  <mergeCells count="56">
    <mergeCell ref="AD6:AK6"/>
    <mergeCell ref="AL8:AL14"/>
    <mergeCell ref="AM8:AM14"/>
    <mergeCell ref="AL6:AM6"/>
    <mergeCell ref="AI8:AI14"/>
    <mergeCell ref="AJ8:AJ14"/>
    <mergeCell ref="AF8:AF14"/>
    <mergeCell ref="AG8:AG14"/>
    <mergeCell ref="AH8:AH14"/>
    <mergeCell ref="AD7:AE7"/>
    <mergeCell ref="AC8:AC14"/>
    <mergeCell ref="AK8:AK14"/>
    <mergeCell ref="AA8:AA14"/>
    <mergeCell ref="Z8:Z14"/>
    <mergeCell ref="Y8:Y14"/>
    <mergeCell ref="AD8:AD14"/>
    <mergeCell ref="AE8:AE14"/>
    <mergeCell ref="Y6:AC6"/>
    <mergeCell ref="G7:I7"/>
    <mergeCell ref="J7:N7"/>
    <mergeCell ref="O7:P7"/>
    <mergeCell ref="Y7:AA7"/>
    <mergeCell ref="U7:W7"/>
    <mergeCell ref="B49:D49"/>
    <mergeCell ref="E6:F6"/>
    <mergeCell ref="E7:F7"/>
    <mergeCell ref="M8:M14"/>
    <mergeCell ref="E2:O2"/>
    <mergeCell ref="B3:O3"/>
    <mergeCell ref="C5:C14"/>
    <mergeCell ref="D8:D14"/>
    <mergeCell ref="D5:AM5"/>
    <mergeCell ref="AB8:AB14"/>
    <mergeCell ref="N8:N14"/>
    <mergeCell ref="O8:O14"/>
    <mergeCell ref="K8:K14"/>
    <mergeCell ref="L8:L14"/>
    <mergeCell ref="I8:I14"/>
    <mergeCell ref="G6:X6"/>
    <mergeCell ref="A9:A26"/>
    <mergeCell ref="H8:H14"/>
    <mergeCell ref="J8:J14"/>
    <mergeCell ref="G8:G14"/>
    <mergeCell ref="E8:E14"/>
    <mergeCell ref="F8:F14"/>
    <mergeCell ref="B5:B11"/>
    <mergeCell ref="B12:B14"/>
    <mergeCell ref="X8:X14"/>
    <mergeCell ref="U8:U14"/>
    <mergeCell ref="V8:V14"/>
    <mergeCell ref="W8:W14"/>
    <mergeCell ref="P8:P14"/>
    <mergeCell ref="Q8:Q14"/>
    <mergeCell ref="R8:R14"/>
    <mergeCell ref="S8:S14"/>
    <mergeCell ref="T8:T14"/>
  </mergeCells>
  <phoneticPr fontId="27" type="noConversion"/>
  <pageMargins left="0.1701388888888889" right="0.27569444444444446" top="0.75" bottom="0.6298611111111112" header="0.25" footer="0.35416666666666669"/>
  <pageSetup paperSize="9" firstPageNumber="0" orientation="portrait" horizontalDpi="300" verticalDpi="300"/>
  <headerFooter alignWithMargins="0">
    <oddHeader>&amp;R&amp;"Arial,Negrito"&amp;12CORPORATIVO</oddHeader>
    <oddFooter xml:space="preserve">&amp;LGestor: TIC/TIC-EP/GDIEP&amp;CPágina &amp;P de &amp;N&amp;Rversão 1.0 - janeiro/2010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showGridLines="0" topLeftCell="A4" zoomScale="115" zoomScaleNormal="115" workbookViewId="0">
      <selection activeCell="A4" sqref="A1:XFD1048576"/>
    </sheetView>
  </sheetViews>
  <sheetFormatPr defaultColWidth="11.44140625" defaultRowHeight="12.6"/>
  <cols>
    <col min="1" max="1" width="2.77734375" style="44" customWidth="1"/>
    <col min="2" max="2" width="39.77734375" style="44" customWidth="1"/>
    <col min="3" max="3" width="25.77734375" style="44" customWidth="1"/>
    <col min="4" max="4" width="21.21875" style="44" customWidth="1"/>
    <col min="5" max="5" width="25.77734375" style="44" customWidth="1"/>
    <col min="6" max="6" width="3.33203125" style="44" customWidth="1"/>
    <col min="7" max="8" width="11.44140625" style="44"/>
    <col min="9" max="9" width="36.77734375" style="44" bestFit="1" customWidth="1"/>
    <col min="10" max="10" width="14.77734375" style="44" bestFit="1" customWidth="1"/>
    <col min="11" max="11" width="25.77734375" style="44" bestFit="1" customWidth="1"/>
    <col min="12" max="16384" width="11.44140625" style="44"/>
  </cols>
  <sheetData>
    <row r="1" spans="1:6" ht="9.75" customHeight="1" thickBot="1"/>
    <row r="2" spans="1:6" ht="22.5" customHeight="1">
      <c r="A2" s="45"/>
      <c r="B2" s="46"/>
      <c r="C2" s="437" t="s">
        <v>10</v>
      </c>
      <c r="D2" s="437"/>
      <c r="E2" s="437"/>
      <c r="F2" s="48"/>
    </row>
    <row r="3" spans="1:6" ht="21" customHeight="1">
      <c r="A3" s="40"/>
      <c r="B3" s="319" t="str">
        <f>'Declaração de Escopo do Projeto'!B7:H7</f>
        <v>Vertex Londrina 360</v>
      </c>
      <c r="C3" s="319"/>
      <c r="D3" s="319"/>
      <c r="E3" s="319"/>
      <c r="F3" s="49"/>
    </row>
    <row r="4" spans="1:6" ht="9" customHeight="1" thickBot="1">
      <c r="A4" s="40"/>
      <c r="B4" s="50"/>
      <c r="C4" s="50"/>
      <c r="D4" s="50"/>
      <c r="E4" s="50"/>
      <c r="F4" s="49"/>
    </row>
    <row r="5" spans="1:6" ht="24" customHeight="1" thickTop="1" thickBot="1">
      <c r="A5" s="40"/>
      <c r="B5" s="5" t="s">
        <v>13</v>
      </c>
      <c r="C5" s="5" t="s">
        <v>461</v>
      </c>
      <c r="D5" s="5" t="s">
        <v>43</v>
      </c>
      <c r="E5" s="5" t="s">
        <v>44</v>
      </c>
      <c r="F5" s="51"/>
    </row>
    <row r="6" spans="1:6" ht="20.100000000000001" customHeight="1" thickTop="1" thickBot="1">
      <c r="A6" s="40"/>
      <c r="B6" s="52" t="s">
        <v>453</v>
      </c>
      <c r="C6" s="282">
        <v>180000</v>
      </c>
      <c r="D6" s="284">
        <v>35</v>
      </c>
      <c r="E6" s="286">
        <f>C6*D6</f>
        <v>6300000</v>
      </c>
      <c r="F6" s="51"/>
    </row>
    <row r="7" spans="1:6" ht="20.100000000000001" customHeight="1" thickTop="1" thickBot="1">
      <c r="A7" s="40"/>
      <c r="B7" s="55" t="s">
        <v>454</v>
      </c>
      <c r="C7" s="282">
        <v>200000</v>
      </c>
      <c r="D7" s="285">
        <v>1</v>
      </c>
      <c r="E7" s="286">
        <f t="shared" ref="E7:E13" si="0">C7*D7</f>
        <v>200000</v>
      </c>
      <c r="F7" s="51"/>
    </row>
    <row r="8" spans="1:6" ht="20.100000000000001" customHeight="1" thickTop="1" thickBot="1">
      <c r="A8" s="40"/>
      <c r="B8" s="55" t="s">
        <v>455</v>
      </c>
      <c r="C8" s="282">
        <v>2500000</v>
      </c>
      <c r="D8" s="285">
        <v>1</v>
      </c>
      <c r="E8" s="286">
        <f t="shared" si="0"/>
        <v>2500000</v>
      </c>
      <c r="F8" s="51"/>
    </row>
    <row r="9" spans="1:6" ht="20.100000000000001" customHeight="1" thickTop="1" thickBot="1">
      <c r="A9" s="40"/>
      <c r="B9" s="55" t="s">
        <v>456</v>
      </c>
      <c r="C9" s="282">
        <v>3000000</v>
      </c>
      <c r="D9" s="285">
        <v>1</v>
      </c>
      <c r="E9" s="286">
        <f t="shared" si="0"/>
        <v>3000000</v>
      </c>
      <c r="F9" s="51"/>
    </row>
    <row r="10" spans="1:6" ht="20.100000000000001" customHeight="1" thickTop="1" thickBot="1">
      <c r="A10" s="40"/>
      <c r="B10" s="55" t="s">
        <v>460</v>
      </c>
      <c r="C10" s="283">
        <v>1500000</v>
      </c>
      <c r="D10" s="285">
        <v>1</v>
      </c>
      <c r="E10" s="286">
        <f t="shared" si="0"/>
        <v>1500000</v>
      </c>
      <c r="F10" s="51"/>
    </row>
    <row r="11" spans="1:6" ht="20.100000000000001" customHeight="1" thickTop="1" thickBot="1">
      <c r="A11" s="40"/>
      <c r="B11" s="55" t="s">
        <v>457</v>
      </c>
      <c r="C11" s="283">
        <v>800000</v>
      </c>
      <c r="D11" s="285">
        <v>1</v>
      </c>
      <c r="E11" s="286">
        <f t="shared" si="0"/>
        <v>800000</v>
      </c>
      <c r="F11" s="51"/>
    </row>
    <row r="12" spans="1:6" ht="20.100000000000001" customHeight="1" thickTop="1" thickBot="1">
      <c r="A12" s="40"/>
      <c r="B12" s="55" t="s">
        <v>458</v>
      </c>
      <c r="C12" s="283">
        <v>1500000</v>
      </c>
      <c r="D12" s="285">
        <v>2</v>
      </c>
      <c r="E12" s="286">
        <f t="shared" si="0"/>
        <v>3000000</v>
      </c>
      <c r="F12" s="51"/>
    </row>
    <row r="13" spans="1:6" ht="20.100000000000001" customHeight="1" thickTop="1">
      <c r="A13" s="40"/>
      <c r="B13" s="55" t="s">
        <v>459</v>
      </c>
      <c r="C13" s="283">
        <v>1100000</v>
      </c>
      <c r="D13" s="285">
        <v>1</v>
      </c>
      <c r="E13" s="286">
        <f t="shared" si="0"/>
        <v>1100000</v>
      </c>
      <c r="F13" s="51"/>
    </row>
    <row r="14" spans="1:6" ht="20.100000000000001" customHeight="1">
      <c r="A14" s="40"/>
      <c r="B14" s="53"/>
      <c r="C14" s="54"/>
      <c r="D14" s="281"/>
      <c r="E14" s="54"/>
      <c r="F14" s="51"/>
    </row>
    <row r="15" spans="1:6" ht="20.100000000000001" customHeight="1">
      <c r="A15" s="40"/>
      <c r="B15" s="53"/>
      <c r="C15" s="54"/>
      <c r="D15" s="55"/>
      <c r="E15" s="54"/>
      <c r="F15" s="51"/>
    </row>
    <row r="16" spans="1:6" ht="20.100000000000001" customHeight="1">
      <c r="A16" s="40"/>
      <c r="B16" s="53"/>
      <c r="C16" s="54"/>
      <c r="D16" s="55"/>
      <c r="E16" s="54"/>
      <c r="F16" s="51"/>
    </row>
    <row r="17" spans="1:6" ht="20.100000000000001" customHeight="1" thickBot="1">
      <c r="A17" s="40"/>
      <c r="B17" s="56"/>
      <c r="C17" s="57"/>
      <c r="D17" s="58"/>
      <c r="E17" s="57"/>
      <c r="F17" s="51"/>
    </row>
    <row r="18" spans="1:6" ht="20.100000000000001" customHeight="1" thickBot="1">
      <c r="A18" s="40"/>
      <c r="B18" s="472" t="s">
        <v>45</v>
      </c>
      <c r="C18" s="472"/>
      <c r="D18" s="472"/>
      <c r="E18" s="59">
        <f>SUM(E6:E17)</f>
        <v>18400000</v>
      </c>
      <c r="F18" s="51"/>
    </row>
    <row r="19" spans="1:6" ht="20.100000000000001" customHeight="1" thickBot="1">
      <c r="A19" s="40"/>
      <c r="B19" s="472" t="s">
        <v>46</v>
      </c>
      <c r="C19" s="472"/>
      <c r="D19" s="472"/>
      <c r="E19" s="60">
        <v>1600000</v>
      </c>
      <c r="F19" s="51"/>
    </row>
    <row r="20" spans="1:6" ht="20.100000000000001" customHeight="1" thickBot="1">
      <c r="A20" s="40"/>
      <c r="B20" s="472" t="s">
        <v>47</v>
      </c>
      <c r="C20" s="472"/>
      <c r="D20" s="472"/>
      <c r="E20" s="61">
        <f>E18+E19</f>
        <v>20000000</v>
      </c>
      <c r="F20" s="51"/>
    </row>
    <row r="21" spans="1:6" ht="13.2" thickBot="1">
      <c r="A21" s="62"/>
      <c r="B21" s="430"/>
      <c r="C21" s="430"/>
      <c r="D21" s="430"/>
      <c r="E21" s="430"/>
      <c r="F21" s="430"/>
    </row>
  </sheetData>
  <sheetProtection selectLockedCells="1" selectUnlockedCells="1"/>
  <mergeCells count="6">
    <mergeCell ref="B20:D20"/>
    <mergeCell ref="B21:F21"/>
    <mergeCell ref="C2:E2"/>
    <mergeCell ref="B3:E3"/>
    <mergeCell ref="B18:D18"/>
    <mergeCell ref="B19:D19"/>
  </mergeCells>
  <phoneticPr fontId="27" type="noConversion"/>
  <pageMargins left="0.24027777777777778" right="0.2298611111111111" top="0.60000000000000009" bottom="0.80972222222222223" header="0.1701388888888889" footer="0.51180555555555551"/>
  <pageSetup paperSize="9" scale="85" firstPageNumber="0" orientation="landscape" horizontalDpi="300" verticalDpi="300"/>
  <headerFooter alignWithMargins="0">
    <oddHeader>&amp;RCORPORATIVO</oddHeader>
    <oddFooter xml:space="preserve">&amp;LGestor: TIC/TIC-EP/GDIEP&amp;CPágina &amp;P de &amp;N&amp;Rversão 1.0 - janeiro/2010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31C8-84D4-467D-9B2A-C84861F310E3}">
  <dimension ref="A1:F27"/>
  <sheetViews>
    <sheetView topLeftCell="A7" workbookViewId="0">
      <selection activeCell="E16" sqref="E16"/>
    </sheetView>
  </sheetViews>
  <sheetFormatPr defaultColWidth="11.44140625" defaultRowHeight="12.6"/>
  <cols>
    <col min="1" max="1" width="2.77734375" style="44" customWidth="1"/>
    <col min="2" max="2" width="39.77734375" style="44" customWidth="1"/>
    <col min="3" max="3" width="25.77734375" style="44" customWidth="1"/>
    <col min="4" max="4" width="21.21875" style="44" customWidth="1"/>
    <col min="5" max="5" width="25.77734375" style="44" customWidth="1"/>
    <col min="6" max="6" width="3.33203125" style="44" customWidth="1"/>
    <col min="7" max="8" width="11.44140625" style="44"/>
    <col min="9" max="9" width="36.77734375" style="44" bestFit="1" customWidth="1"/>
    <col min="10" max="10" width="14.77734375" style="44" bestFit="1" customWidth="1"/>
    <col min="11" max="11" width="25.77734375" style="44" bestFit="1" customWidth="1"/>
    <col min="12" max="16384" width="11.44140625" style="44"/>
  </cols>
  <sheetData>
    <row r="1" spans="1:6" ht="9.75" customHeight="1" thickBot="1"/>
    <row r="2" spans="1:6" ht="22.5" customHeight="1">
      <c r="A2" s="45"/>
      <c r="B2" s="46"/>
      <c r="C2" s="437" t="s">
        <v>10</v>
      </c>
      <c r="D2" s="437"/>
      <c r="E2" s="437"/>
      <c r="F2" s="48"/>
    </row>
    <row r="3" spans="1:6" ht="21" customHeight="1">
      <c r="A3" s="40"/>
      <c r="B3" s="319" t="str">
        <f>'Declaração de Escopo do Projeto'!B7:H7</f>
        <v>Vertex Londrina 360</v>
      </c>
      <c r="C3" s="319"/>
      <c r="D3" s="319"/>
      <c r="E3" s="319"/>
      <c r="F3" s="49"/>
    </row>
    <row r="4" spans="1:6" ht="9" customHeight="1" thickBot="1">
      <c r="A4" s="40"/>
      <c r="B4" s="50"/>
      <c r="C4" s="50"/>
      <c r="D4" s="50"/>
      <c r="E4" s="50"/>
      <c r="F4" s="49"/>
    </row>
    <row r="5" spans="1:6" ht="24" customHeight="1" thickTop="1" thickBot="1">
      <c r="A5" s="40"/>
      <c r="B5" s="5" t="s">
        <v>13</v>
      </c>
      <c r="C5" s="5" t="s">
        <v>461</v>
      </c>
      <c r="D5" s="5" t="s">
        <v>43</v>
      </c>
      <c r="E5" s="5" t="s">
        <v>44</v>
      </c>
      <c r="F5" s="51"/>
    </row>
    <row r="6" spans="1:6" ht="20.100000000000001" customHeight="1" thickTop="1" thickBot="1">
      <c r="A6" s="40"/>
      <c r="B6" s="52" t="s">
        <v>453</v>
      </c>
      <c r="C6" s="282">
        <v>180000</v>
      </c>
      <c r="D6" s="284">
        <v>35</v>
      </c>
      <c r="E6" s="286">
        <f>C6*D6</f>
        <v>6300000</v>
      </c>
      <c r="F6" s="51"/>
    </row>
    <row r="7" spans="1:6" ht="20.100000000000001" customHeight="1" thickTop="1" thickBot="1">
      <c r="A7" s="40"/>
      <c r="B7" s="55" t="s">
        <v>454</v>
      </c>
      <c r="C7" s="282">
        <v>200000</v>
      </c>
      <c r="D7" s="285">
        <v>1</v>
      </c>
      <c r="E7" s="286">
        <f t="shared" ref="E7:E13" si="0">C7*D7</f>
        <v>200000</v>
      </c>
      <c r="F7" s="51"/>
    </row>
    <row r="8" spans="1:6" ht="20.100000000000001" customHeight="1" thickTop="1" thickBot="1">
      <c r="A8" s="40"/>
      <c r="B8" s="55" t="s">
        <v>455</v>
      </c>
      <c r="C8" s="282">
        <v>2500000</v>
      </c>
      <c r="D8" s="285">
        <v>1</v>
      </c>
      <c r="E8" s="286">
        <f t="shared" si="0"/>
        <v>2500000</v>
      </c>
      <c r="F8" s="51"/>
    </row>
    <row r="9" spans="1:6" ht="20.100000000000001" customHeight="1" thickTop="1" thickBot="1">
      <c r="A9" s="40"/>
      <c r="B9" s="55" t="s">
        <v>456</v>
      </c>
      <c r="C9" s="282">
        <v>3000000</v>
      </c>
      <c r="D9" s="285">
        <v>1</v>
      </c>
      <c r="E9" s="286">
        <f t="shared" si="0"/>
        <v>3000000</v>
      </c>
      <c r="F9" s="51"/>
    </row>
    <row r="10" spans="1:6" ht="20.100000000000001" customHeight="1" thickTop="1" thickBot="1">
      <c r="A10" s="40"/>
      <c r="B10" s="55" t="s">
        <v>460</v>
      </c>
      <c r="C10" s="283">
        <v>1500000</v>
      </c>
      <c r="D10" s="285">
        <v>1</v>
      </c>
      <c r="E10" s="286">
        <f t="shared" si="0"/>
        <v>1500000</v>
      </c>
      <c r="F10" s="51"/>
    </row>
    <row r="11" spans="1:6" ht="20.100000000000001" customHeight="1" thickTop="1" thickBot="1">
      <c r="A11" s="40"/>
      <c r="B11" s="55" t="s">
        <v>457</v>
      </c>
      <c r="C11" s="283">
        <v>800000</v>
      </c>
      <c r="D11" s="285">
        <v>2</v>
      </c>
      <c r="E11" s="286">
        <f t="shared" si="0"/>
        <v>1600000</v>
      </c>
      <c r="F11" s="51"/>
    </row>
    <row r="12" spans="1:6" ht="20.100000000000001" customHeight="1" thickTop="1" thickBot="1">
      <c r="A12" s="40"/>
      <c r="B12" s="55" t="s">
        <v>458</v>
      </c>
      <c r="C12" s="283">
        <v>1500000</v>
      </c>
      <c r="D12" s="285">
        <v>1</v>
      </c>
      <c r="E12" s="286">
        <f t="shared" si="0"/>
        <v>1500000</v>
      </c>
      <c r="F12" s="51"/>
    </row>
    <row r="13" spans="1:6" ht="20.100000000000001" customHeight="1" thickTop="1">
      <c r="A13" s="40"/>
      <c r="B13" s="55" t="s">
        <v>459</v>
      </c>
      <c r="C13" s="283">
        <v>1100000</v>
      </c>
      <c r="D13" s="285">
        <v>1</v>
      </c>
      <c r="E13" s="286">
        <f t="shared" si="0"/>
        <v>1100000</v>
      </c>
      <c r="F13" s="51"/>
    </row>
    <row r="14" spans="1:6" ht="20.100000000000001" customHeight="1">
      <c r="A14" s="40"/>
      <c r="B14" s="53"/>
      <c r="C14" s="54"/>
      <c r="D14" s="281"/>
      <c r="E14" s="54"/>
      <c r="F14" s="51"/>
    </row>
    <row r="15" spans="1:6" ht="20.100000000000001" customHeight="1">
      <c r="A15" s="40"/>
      <c r="B15" s="53"/>
      <c r="C15" s="54"/>
      <c r="D15" s="55"/>
      <c r="E15" s="54"/>
      <c r="F15" s="51"/>
    </row>
    <row r="16" spans="1:6" ht="20.100000000000001" customHeight="1">
      <c r="A16" s="40"/>
      <c r="B16" s="53"/>
      <c r="C16" s="54"/>
      <c r="D16" s="55"/>
      <c r="E16" s="54"/>
      <c r="F16" s="51"/>
    </row>
    <row r="17" spans="1:6" ht="20.100000000000001" customHeight="1" thickBot="1">
      <c r="A17" s="40"/>
      <c r="B17" s="56"/>
      <c r="C17" s="57"/>
      <c r="D17" s="58"/>
      <c r="E17" s="57"/>
      <c r="F17" s="51"/>
    </row>
    <row r="18" spans="1:6" ht="20.100000000000001" customHeight="1" thickBot="1">
      <c r="A18" s="40"/>
      <c r="B18" s="472" t="s">
        <v>45</v>
      </c>
      <c r="C18" s="472"/>
      <c r="D18" s="472"/>
      <c r="E18" s="59">
        <f>SUM(E6:E17)</f>
        <v>17700000</v>
      </c>
      <c r="F18" s="51"/>
    </row>
    <row r="19" spans="1:6" ht="20.100000000000001" customHeight="1" thickBot="1">
      <c r="A19" s="40"/>
      <c r="B19" s="472" t="s">
        <v>46</v>
      </c>
      <c r="C19" s="472"/>
      <c r="D19" s="472"/>
      <c r="E19" s="60">
        <v>1600000</v>
      </c>
      <c r="F19" s="51"/>
    </row>
    <row r="20" spans="1:6" ht="20.100000000000001" customHeight="1" thickBot="1">
      <c r="A20" s="40"/>
      <c r="B20" s="472" t="s">
        <v>47</v>
      </c>
      <c r="C20" s="472"/>
      <c r="D20" s="472"/>
      <c r="E20" s="61">
        <f>E18+E19</f>
        <v>19300000</v>
      </c>
      <c r="F20" s="51"/>
    </row>
    <row r="21" spans="1:6" ht="13.2" thickBot="1">
      <c r="A21" s="62"/>
      <c r="B21" s="430"/>
      <c r="C21" s="430"/>
      <c r="D21" s="430"/>
      <c r="E21" s="430"/>
      <c r="F21" s="430"/>
    </row>
    <row r="23" spans="1:6" ht="13.2" thickBot="1"/>
    <row r="24" spans="1:6">
      <c r="B24" s="473" t="s">
        <v>495</v>
      </c>
      <c r="C24" s="474"/>
    </row>
    <row r="25" spans="1:6">
      <c r="B25" s="475"/>
      <c r="C25" s="476"/>
    </row>
    <row r="26" spans="1:6">
      <c r="B26" s="475"/>
      <c r="C26" s="476"/>
    </row>
    <row r="27" spans="1:6" ht="93.45" customHeight="1" thickBot="1">
      <c r="B27" s="477"/>
      <c r="C27" s="478"/>
    </row>
  </sheetData>
  <mergeCells count="7">
    <mergeCell ref="B24:C27"/>
    <mergeCell ref="C2:E2"/>
    <mergeCell ref="B3:E3"/>
    <mergeCell ref="B18:D18"/>
    <mergeCell ref="B19:D19"/>
    <mergeCell ref="B20:D20"/>
    <mergeCell ref="B21:F2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R34"/>
  <sheetViews>
    <sheetView topLeftCell="A26" workbookViewId="0">
      <selection activeCell="I20" sqref="I20"/>
    </sheetView>
  </sheetViews>
  <sheetFormatPr defaultRowHeight="13.2"/>
  <cols>
    <col min="1" max="1" width="23.6640625" customWidth="1"/>
    <col min="2" max="2" width="15.33203125" customWidth="1"/>
    <col min="3" max="4" width="18.33203125" customWidth="1"/>
    <col min="5" max="5" width="14.77734375" customWidth="1"/>
    <col min="6" max="6" width="17.33203125" customWidth="1"/>
    <col min="7" max="7" width="15" customWidth="1"/>
    <col min="8" max="8" width="14.21875" customWidth="1"/>
    <col min="9" max="9" width="12.88671875" customWidth="1"/>
    <col min="10" max="10" width="16.21875" customWidth="1"/>
  </cols>
  <sheetData>
    <row r="1" spans="1:200" ht="22.8" thickBot="1">
      <c r="C1" s="120"/>
      <c r="D1" s="120"/>
      <c r="E1" s="120"/>
      <c r="F1" s="318"/>
      <c r="G1" s="318"/>
      <c r="H1" s="318"/>
      <c r="I1" s="318"/>
      <c r="J1" s="88"/>
      <c r="K1" s="44"/>
      <c r="L1" s="44"/>
      <c r="M1" s="44"/>
    </row>
    <row r="2" spans="1:200" s="72" customFormat="1" ht="21.75" customHeight="1">
      <c r="A2" s="119"/>
      <c r="B2" s="120"/>
      <c r="C2" s="120"/>
      <c r="D2" s="120"/>
      <c r="E2" s="120"/>
      <c r="F2" s="318" t="s">
        <v>196</v>
      </c>
      <c r="G2" s="318"/>
      <c r="H2" s="318"/>
      <c r="I2" s="318"/>
      <c r="J2" s="212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</row>
    <row r="3" spans="1:200" s="72" customFormat="1" ht="25.5" customHeight="1">
      <c r="A3" s="122"/>
      <c r="B3" s="88"/>
      <c r="C3" s="88"/>
      <c r="D3" s="319" t="s">
        <v>568</v>
      </c>
      <c r="E3" s="319"/>
      <c r="F3" s="319"/>
      <c r="G3" s="319"/>
      <c r="H3" s="319"/>
      <c r="I3" s="319"/>
      <c r="J3" s="213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</row>
    <row r="4" spans="1:200" s="72" customFormat="1" ht="25.5" customHeight="1" thickBot="1">
      <c r="A4" s="88"/>
      <c r="B4" s="88"/>
      <c r="C4" s="88"/>
      <c r="D4" s="210"/>
      <c r="E4" s="210"/>
      <c r="F4" s="210"/>
      <c r="G4" s="210"/>
      <c r="H4" s="210"/>
      <c r="I4" s="210"/>
      <c r="J4" s="21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</row>
    <row r="5" spans="1:200" ht="22.8" thickBot="1">
      <c r="A5" s="88"/>
      <c r="B5" s="88"/>
      <c r="C5" s="320" t="s">
        <v>266</v>
      </c>
      <c r="D5" s="321"/>
      <c r="E5" s="321"/>
      <c r="F5" s="321"/>
      <c r="G5" s="321"/>
      <c r="H5" s="322"/>
      <c r="I5" s="123" t="s">
        <v>267</v>
      </c>
      <c r="J5" s="213"/>
      <c r="K5" s="44"/>
      <c r="L5" s="44"/>
      <c r="M5" s="44"/>
    </row>
    <row r="6" spans="1:200" ht="22.2">
      <c r="A6" s="323" t="s">
        <v>268</v>
      </c>
      <c r="B6" s="214">
        <v>1</v>
      </c>
      <c r="C6" s="326" t="s">
        <v>269</v>
      </c>
      <c r="D6" s="326"/>
      <c r="E6" s="326"/>
      <c r="F6" s="326"/>
      <c r="G6" s="326"/>
      <c r="H6" s="327"/>
      <c r="I6" s="124" t="s">
        <v>270</v>
      </c>
      <c r="J6" s="213"/>
      <c r="K6" s="44"/>
      <c r="L6" s="44"/>
      <c r="M6" s="44"/>
    </row>
    <row r="7" spans="1:200" ht="22.5" customHeight="1">
      <c r="A7" s="324"/>
      <c r="B7" s="215">
        <v>2</v>
      </c>
      <c r="C7" s="328" t="s">
        <v>271</v>
      </c>
      <c r="D7" s="329"/>
      <c r="E7" s="329"/>
      <c r="F7" s="329"/>
      <c r="G7" s="329"/>
      <c r="H7" s="330"/>
      <c r="I7" s="126" t="s">
        <v>270</v>
      </c>
      <c r="J7" s="213"/>
      <c r="K7" s="44"/>
      <c r="L7" s="44"/>
      <c r="M7" s="44"/>
    </row>
    <row r="8" spans="1:200" ht="28.5" customHeight="1">
      <c r="A8" s="324"/>
      <c r="B8" s="215">
        <v>3</v>
      </c>
      <c r="C8" s="331" t="s">
        <v>272</v>
      </c>
      <c r="D8" s="332"/>
      <c r="E8" s="332"/>
      <c r="F8" s="332"/>
      <c r="G8" s="332"/>
      <c r="H8" s="333"/>
      <c r="I8" s="126" t="s">
        <v>270</v>
      </c>
      <c r="J8" s="213"/>
    </row>
    <row r="9" spans="1:200" ht="28.5" customHeight="1">
      <c r="A9" s="324"/>
      <c r="B9" s="215">
        <v>4</v>
      </c>
      <c r="C9" s="331" t="s">
        <v>273</v>
      </c>
      <c r="D9" s="332"/>
      <c r="E9" s="332"/>
      <c r="F9" s="332"/>
      <c r="G9" s="332"/>
      <c r="H9" s="333"/>
      <c r="I9" s="126" t="s">
        <v>270</v>
      </c>
      <c r="J9" s="213"/>
    </row>
    <row r="10" spans="1:200" ht="22.5" customHeight="1">
      <c r="A10" s="324"/>
      <c r="B10" s="215">
        <v>5</v>
      </c>
      <c r="C10" s="331" t="s">
        <v>274</v>
      </c>
      <c r="D10" s="332"/>
      <c r="E10" s="332"/>
      <c r="F10" s="332"/>
      <c r="G10" s="332"/>
      <c r="H10" s="333"/>
      <c r="I10" s="126" t="s">
        <v>270</v>
      </c>
      <c r="J10" s="213"/>
    </row>
    <row r="11" spans="1:200" ht="22.5" customHeight="1">
      <c r="A11" s="324"/>
      <c r="B11" s="215">
        <v>6</v>
      </c>
      <c r="C11" s="331" t="s">
        <v>275</v>
      </c>
      <c r="D11" s="332"/>
      <c r="E11" s="332"/>
      <c r="F11" s="332"/>
      <c r="G11" s="332"/>
      <c r="H11" s="333"/>
      <c r="I11" s="126" t="s">
        <v>270</v>
      </c>
      <c r="J11" s="213"/>
    </row>
    <row r="12" spans="1:200" ht="22.2">
      <c r="A12" s="324"/>
      <c r="B12" s="215">
        <v>7</v>
      </c>
      <c r="C12" s="331" t="s">
        <v>276</v>
      </c>
      <c r="D12" s="332"/>
      <c r="E12" s="332"/>
      <c r="F12" s="332"/>
      <c r="G12" s="332"/>
      <c r="H12" s="333"/>
      <c r="I12" s="126" t="s">
        <v>270</v>
      </c>
      <c r="J12" s="213"/>
    </row>
    <row r="13" spans="1:200" ht="22.8" thickBot="1">
      <c r="A13" s="325"/>
      <c r="B13" s="216">
        <v>8</v>
      </c>
      <c r="C13" s="334" t="s">
        <v>648</v>
      </c>
      <c r="D13" s="335"/>
      <c r="E13" s="335"/>
      <c r="F13" s="335"/>
      <c r="G13" s="335"/>
      <c r="H13" s="336"/>
      <c r="I13" s="126" t="s">
        <v>270</v>
      </c>
      <c r="J13" s="213"/>
    </row>
    <row r="14" spans="1:200" ht="24.75" customHeight="1">
      <c r="A14" s="324" t="s">
        <v>277</v>
      </c>
      <c r="B14" s="218">
        <v>9</v>
      </c>
      <c r="C14" s="337" t="s">
        <v>278</v>
      </c>
      <c r="D14" s="338"/>
      <c r="E14" s="338"/>
      <c r="F14" s="338"/>
      <c r="G14" s="338"/>
      <c r="H14" s="339"/>
      <c r="I14" s="219" t="s">
        <v>270</v>
      </c>
      <c r="J14" s="213"/>
    </row>
    <row r="15" spans="1:200" ht="22.2">
      <c r="A15" s="324"/>
      <c r="B15" s="215">
        <v>10</v>
      </c>
      <c r="C15" s="340" t="s">
        <v>279</v>
      </c>
      <c r="D15" s="341"/>
      <c r="E15" s="341"/>
      <c r="F15" s="341"/>
      <c r="G15" s="341"/>
      <c r="H15" s="342"/>
      <c r="I15" s="126" t="s">
        <v>569</v>
      </c>
      <c r="J15" s="213"/>
    </row>
    <row r="16" spans="1:200" ht="32.25" customHeight="1">
      <c r="A16" s="324"/>
      <c r="B16" s="215">
        <v>11</v>
      </c>
      <c r="C16" s="340" t="s">
        <v>280</v>
      </c>
      <c r="D16" s="341"/>
      <c r="E16" s="341"/>
      <c r="F16" s="341"/>
      <c r="G16" s="341"/>
      <c r="H16" s="342"/>
      <c r="I16" s="126" t="s">
        <v>270</v>
      </c>
      <c r="J16" s="213"/>
    </row>
    <row r="17" spans="1:10" ht="31.5" customHeight="1">
      <c r="A17" s="324"/>
      <c r="B17" s="215">
        <v>12</v>
      </c>
      <c r="C17" s="340" t="s">
        <v>281</v>
      </c>
      <c r="D17" s="341"/>
      <c r="E17" s="341"/>
      <c r="F17" s="341"/>
      <c r="G17" s="341"/>
      <c r="H17" s="342"/>
      <c r="I17" s="126" t="s">
        <v>270</v>
      </c>
      <c r="J17" s="213"/>
    </row>
    <row r="18" spans="1:10" ht="22.2">
      <c r="A18" s="324"/>
      <c r="B18" s="215">
        <v>13</v>
      </c>
      <c r="C18" s="340" t="s">
        <v>282</v>
      </c>
      <c r="D18" s="341"/>
      <c r="E18" s="341"/>
      <c r="F18" s="341"/>
      <c r="G18" s="341"/>
      <c r="H18" s="342"/>
      <c r="I18" s="126" t="s">
        <v>270</v>
      </c>
      <c r="J18" s="213"/>
    </row>
    <row r="19" spans="1:10" ht="22.2">
      <c r="A19" s="324"/>
      <c r="B19" s="215">
        <v>14</v>
      </c>
      <c r="C19" s="340" t="s">
        <v>283</v>
      </c>
      <c r="D19" s="341"/>
      <c r="E19" s="341"/>
      <c r="F19" s="341"/>
      <c r="G19" s="341"/>
      <c r="H19" s="342"/>
      <c r="I19" s="126" t="s">
        <v>569</v>
      </c>
      <c r="J19" s="213"/>
    </row>
    <row r="20" spans="1:10" ht="31.5" customHeight="1">
      <c r="A20" s="324"/>
      <c r="B20" s="215">
        <v>15</v>
      </c>
      <c r="C20" s="340" t="s">
        <v>284</v>
      </c>
      <c r="D20" s="341"/>
      <c r="E20" s="341"/>
      <c r="F20" s="341"/>
      <c r="G20" s="341"/>
      <c r="H20" s="342"/>
      <c r="I20" s="126" t="s">
        <v>270</v>
      </c>
      <c r="J20" s="213"/>
    </row>
    <row r="21" spans="1:10" ht="22.8" thickBot="1">
      <c r="A21" s="325"/>
      <c r="B21" s="220">
        <v>16</v>
      </c>
      <c r="C21" s="334" t="s">
        <v>285</v>
      </c>
      <c r="D21" s="335"/>
      <c r="E21" s="335"/>
      <c r="F21" s="335"/>
      <c r="G21" s="335"/>
      <c r="H21" s="336"/>
      <c r="I21" s="217" t="s">
        <v>270</v>
      </c>
      <c r="J21" s="213"/>
    </row>
    <row r="22" spans="1:10" ht="22.8" thickBot="1">
      <c r="A22" s="131"/>
      <c r="B22" s="131"/>
      <c r="C22" s="221"/>
      <c r="D22" s="221"/>
      <c r="E22" s="221"/>
      <c r="F22" s="221"/>
      <c r="G22" s="221"/>
      <c r="H22" s="221"/>
      <c r="I22" s="221"/>
      <c r="J22" s="222"/>
    </row>
    <row r="24" spans="1:10" ht="17.399999999999999">
      <c r="A24" s="240" t="s">
        <v>298</v>
      </c>
      <c r="C24" s="241"/>
    </row>
    <row r="25" spans="1:10" ht="12.75" customHeight="1">
      <c r="A25" s="309" t="s">
        <v>299</v>
      </c>
      <c r="B25" s="310"/>
      <c r="C25" s="310"/>
      <c r="D25" s="310"/>
      <c r="E25" s="310"/>
      <c r="F25" s="310"/>
      <c r="G25" s="310"/>
      <c r="H25" s="310"/>
      <c r="I25" s="310"/>
      <c r="J25" s="310"/>
    </row>
    <row r="26" spans="1:10" ht="18" thickBot="1">
      <c r="A26" s="240" t="s">
        <v>300</v>
      </c>
      <c r="C26" s="241"/>
    </row>
    <row r="27" spans="1:10" ht="13.5" customHeight="1" thickBot="1">
      <c r="A27" s="311" t="s">
        <v>301</v>
      </c>
      <c r="B27" s="311" t="s">
        <v>302</v>
      </c>
      <c r="C27" s="311" t="s">
        <v>303</v>
      </c>
      <c r="D27" s="311" t="s">
        <v>319</v>
      </c>
      <c r="E27" s="313" t="s">
        <v>304</v>
      </c>
      <c r="F27" s="314" t="s">
        <v>305</v>
      </c>
      <c r="G27" s="314" t="s">
        <v>306</v>
      </c>
      <c r="H27" s="315" t="s">
        <v>307</v>
      </c>
      <c r="I27" s="316"/>
      <c r="J27" s="317"/>
    </row>
    <row r="28" spans="1:10" ht="13.8" thickBot="1">
      <c r="A28" s="312"/>
      <c r="B28" s="312"/>
      <c r="C28" s="312"/>
      <c r="D28" s="312"/>
      <c r="E28" s="312"/>
      <c r="F28" s="312"/>
      <c r="G28" s="312"/>
      <c r="H28" s="244" t="s">
        <v>308</v>
      </c>
      <c r="I28" s="245" t="s">
        <v>309</v>
      </c>
      <c r="J28" s="246" t="s">
        <v>50</v>
      </c>
    </row>
    <row r="29" spans="1:10" ht="106.2" thickBot="1">
      <c r="A29" s="247" t="s">
        <v>310</v>
      </c>
      <c r="B29" s="248" t="s">
        <v>321</v>
      </c>
      <c r="C29" s="248" t="s">
        <v>320</v>
      </c>
      <c r="D29" s="253" t="s">
        <v>311</v>
      </c>
      <c r="E29" s="254">
        <v>1</v>
      </c>
      <c r="F29" s="253" t="s">
        <v>312</v>
      </c>
      <c r="G29" s="253" t="s">
        <v>313</v>
      </c>
      <c r="H29" s="255" t="s">
        <v>314</v>
      </c>
      <c r="I29" s="256" t="s">
        <v>315</v>
      </c>
      <c r="J29" s="252" t="s">
        <v>466</v>
      </c>
    </row>
    <row r="30" spans="1:10" ht="53.4" thickBot="1">
      <c r="A30" s="247" t="s">
        <v>316</v>
      </c>
      <c r="B30" s="248" t="s">
        <v>570</v>
      </c>
      <c r="C30" s="250" t="s">
        <v>571</v>
      </c>
      <c r="D30" s="259" t="s">
        <v>572</v>
      </c>
      <c r="E30" s="260" t="s">
        <v>573</v>
      </c>
      <c r="F30" s="261" t="s">
        <v>466</v>
      </c>
      <c r="G30" s="261" t="s">
        <v>574</v>
      </c>
      <c r="H30" s="262" t="s">
        <v>575</v>
      </c>
      <c r="I30" s="263" t="s">
        <v>576</v>
      </c>
      <c r="J30" s="264" t="s">
        <v>466</v>
      </c>
    </row>
    <row r="31" spans="1:10" ht="53.4" thickBot="1">
      <c r="A31" s="257" t="s">
        <v>317</v>
      </c>
      <c r="B31" s="258" t="s">
        <v>577</v>
      </c>
      <c r="C31" s="265" t="s">
        <v>578</v>
      </c>
      <c r="D31" s="255" t="s">
        <v>579</v>
      </c>
      <c r="E31" s="267" t="s">
        <v>580</v>
      </c>
      <c r="F31" s="266" t="s">
        <v>466</v>
      </c>
      <c r="G31" s="269" t="s">
        <v>581</v>
      </c>
      <c r="H31" s="269" t="s">
        <v>582</v>
      </c>
      <c r="I31" s="269" t="s">
        <v>583</v>
      </c>
      <c r="J31" s="269" t="s">
        <v>466</v>
      </c>
    </row>
    <row r="32" spans="1:10" ht="66.599999999999994" thickBot="1">
      <c r="A32" s="247" t="s">
        <v>318</v>
      </c>
      <c r="B32" s="248" t="s">
        <v>584</v>
      </c>
      <c r="C32" s="250" t="s">
        <v>585</v>
      </c>
      <c r="D32" s="267" t="s">
        <v>586</v>
      </c>
      <c r="E32" s="268" t="s">
        <v>587</v>
      </c>
      <c r="F32" s="267" t="s">
        <v>466</v>
      </c>
      <c r="G32" s="269" t="s">
        <v>588</v>
      </c>
      <c r="H32" s="269" t="s">
        <v>589</v>
      </c>
      <c r="I32" s="269" t="s">
        <v>590</v>
      </c>
      <c r="J32" s="269" t="s">
        <v>466</v>
      </c>
    </row>
    <row r="33" spans="1:10" ht="90.75" customHeight="1" thickBot="1">
      <c r="A33" s="247"/>
      <c r="B33" s="248"/>
      <c r="C33" s="248"/>
      <c r="D33" s="248"/>
      <c r="E33" s="249"/>
      <c r="F33" s="248"/>
      <c r="G33" s="248"/>
      <c r="H33" s="250"/>
      <c r="I33" s="251"/>
      <c r="J33" s="247"/>
    </row>
    <row r="34" spans="1:10">
      <c r="A34" s="243"/>
      <c r="C34" s="241"/>
      <c r="F34" s="242"/>
    </row>
  </sheetData>
  <mergeCells count="31">
    <mergeCell ref="A14:A21"/>
    <mergeCell ref="C14:H14"/>
    <mergeCell ref="C15:H15"/>
    <mergeCell ref="C16:H16"/>
    <mergeCell ref="C17:H17"/>
    <mergeCell ref="C18:H18"/>
    <mergeCell ref="C19:H19"/>
    <mergeCell ref="C20:H20"/>
    <mergeCell ref="C21:H21"/>
    <mergeCell ref="F1:I1"/>
    <mergeCell ref="F2:I2"/>
    <mergeCell ref="D3:I3"/>
    <mergeCell ref="C5:H5"/>
    <mergeCell ref="A6:A13"/>
    <mergeCell ref="C6:H6"/>
    <mergeCell ref="C7:H7"/>
    <mergeCell ref="C8:H8"/>
    <mergeCell ref="C9:H9"/>
    <mergeCell ref="C10:H10"/>
    <mergeCell ref="C11:H11"/>
    <mergeCell ref="C12:H12"/>
    <mergeCell ref="C13:H13"/>
    <mergeCell ref="A25:J25"/>
    <mergeCell ref="A27:A28"/>
    <mergeCell ref="B27:B28"/>
    <mergeCell ref="C27:C28"/>
    <mergeCell ref="D27:D28"/>
    <mergeCell ref="E27:E28"/>
    <mergeCell ref="F27:F28"/>
    <mergeCell ref="G27:G28"/>
    <mergeCell ref="H27:J27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0"/>
  <sheetViews>
    <sheetView showGridLines="0" topLeftCell="B12" zoomScale="80" zoomScaleNormal="80" workbookViewId="0">
      <selection activeCell="G11" sqref="G11"/>
    </sheetView>
  </sheetViews>
  <sheetFormatPr defaultColWidth="11.44140625" defaultRowHeight="12.6"/>
  <cols>
    <col min="1" max="1" width="3.109375" style="41" customWidth="1"/>
    <col min="2" max="2" width="14" style="41" customWidth="1"/>
    <col min="3" max="3" width="19.21875" style="41" customWidth="1"/>
    <col min="4" max="5" width="13.44140625" style="41" customWidth="1"/>
    <col min="6" max="6" width="20.109375" style="41" customWidth="1"/>
    <col min="7" max="7" width="17.77734375" style="41" customWidth="1"/>
    <col min="8" max="10" width="20.109375" style="41" customWidth="1"/>
    <col min="11" max="12" width="26.77734375" style="41" customWidth="1"/>
    <col min="13" max="13" width="19.44140625" style="41" customWidth="1"/>
    <col min="14" max="14" width="12.88671875" style="41" customWidth="1"/>
    <col min="15" max="15" width="23.33203125" style="41" customWidth="1"/>
    <col min="16" max="16" width="43.77734375" style="41" customWidth="1"/>
    <col min="17" max="16384" width="11.44140625" style="44"/>
  </cols>
  <sheetData>
    <row r="1" spans="1:16" ht="49.5" hidden="1" customHeight="1" thickBo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27.75" customHeight="1">
      <c r="A2" s="45"/>
      <c r="B2" s="2"/>
      <c r="C2" s="2"/>
      <c r="D2" s="2"/>
      <c r="E2" s="2"/>
      <c r="F2" s="2"/>
      <c r="G2" s="2"/>
      <c r="H2" s="2"/>
      <c r="I2" s="2"/>
      <c r="J2" s="2"/>
      <c r="K2" s="198" t="s">
        <v>75</v>
      </c>
      <c r="L2" s="198"/>
      <c r="M2" s="198"/>
      <c r="N2" s="198"/>
      <c r="O2" s="198"/>
      <c r="P2" s="48"/>
    </row>
    <row r="3" spans="1:16" ht="33.75" customHeight="1" thickBot="1">
      <c r="A3" s="40"/>
      <c r="B3" s="199" t="str">
        <f>'Declaração de Escopo do Projeto'!B7:H7</f>
        <v>Vertex Londrina 360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51"/>
    </row>
    <row r="4" spans="1:16" ht="5.25" hidden="1" customHeight="1" thickBot="1">
      <c r="A4" s="40"/>
      <c r="B4" s="3"/>
      <c r="C4" s="3"/>
      <c r="D4" s="3"/>
      <c r="E4" s="3"/>
      <c r="F4" s="3"/>
      <c r="G4" s="3"/>
      <c r="H4" s="3"/>
      <c r="I4" s="3"/>
      <c r="J4" s="3"/>
      <c r="K4" s="94"/>
      <c r="L4" s="94"/>
      <c r="M4" s="94"/>
      <c r="N4" s="94"/>
      <c r="O4" s="94"/>
      <c r="P4" s="51"/>
    </row>
    <row r="5" spans="1:16" ht="7.5" hidden="1" customHeight="1" thickBot="1">
      <c r="A5" s="40"/>
      <c r="B5" s="137"/>
      <c r="C5" s="137"/>
      <c r="D5" s="137"/>
      <c r="E5" s="137"/>
      <c r="F5" s="137"/>
      <c r="G5" s="137"/>
      <c r="H5" s="137"/>
      <c r="I5" s="137"/>
      <c r="J5" s="137"/>
      <c r="K5" s="138"/>
      <c r="L5" s="138"/>
      <c r="M5" s="138"/>
      <c r="N5" s="138"/>
      <c r="O5" s="138"/>
      <c r="P5" s="51"/>
    </row>
    <row r="6" spans="1:16" ht="42.75" customHeight="1" thickBot="1">
      <c r="A6" s="40"/>
      <c r="B6" s="485" t="s">
        <v>76</v>
      </c>
      <c r="C6" s="486"/>
      <c r="D6" s="486"/>
      <c r="E6" s="486"/>
      <c r="F6" s="486"/>
      <c r="G6" s="486"/>
      <c r="H6" s="486"/>
      <c r="I6" s="486"/>
      <c r="J6" s="487"/>
      <c r="K6" s="200" t="s">
        <v>77</v>
      </c>
      <c r="L6" s="201"/>
      <c r="M6" s="201"/>
      <c r="N6" s="201"/>
      <c r="O6" s="202"/>
      <c r="P6" s="51"/>
    </row>
    <row r="7" spans="1:16" s="95" customFormat="1" ht="21" customHeight="1">
      <c r="A7" s="40"/>
      <c r="B7" s="161"/>
      <c r="C7" s="162"/>
      <c r="D7" s="162"/>
      <c r="E7" s="162"/>
      <c r="F7" s="162"/>
      <c r="G7" s="483" t="s">
        <v>127</v>
      </c>
      <c r="H7" s="483"/>
      <c r="I7" s="163"/>
      <c r="J7" s="141"/>
      <c r="K7" s="164"/>
      <c r="L7" s="165"/>
      <c r="M7" s="482" t="s">
        <v>128</v>
      </c>
      <c r="N7" s="482"/>
      <c r="O7" s="166"/>
      <c r="P7" s="51"/>
    </row>
    <row r="8" spans="1:16" s="97" customFormat="1" ht="25.2">
      <c r="A8" s="40"/>
      <c r="B8" s="96" t="s">
        <v>74</v>
      </c>
      <c r="C8" s="96" t="s">
        <v>78</v>
      </c>
      <c r="D8" s="96" t="s">
        <v>123</v>
      </c>
      <c r="E8" s="96" t="s">
        <v>124</v>
      </c>
      <c r="F8" s="96" t="s">
        <v>81</v>
      </c>
      <c r="G8" s="96" t="s">
        <v>79</v>
      </c>
      <c r="H8" s="96" t="s">
        <v>80</v>
      </c>
      <c r="I8" s="96" t="s">
        <v>83</v>
      </c>
      <c r="J8" s="96" t="s">
        <v>77</v>
      </c>
      <c r="K8" s="96" t="s">
        <v>82</v>
      </c>
      <c r="L8" s="96" t="s">
        <v>50</v>
      </c>
      <c r="M8" s="96" t="s">
        <v>129</v>
      </c>
      <c r="N8" s="96" t="s">
        <v>88</v>
      </c>
      <c r="O8" s="96" t="s">
        <v>85</v>
      </c>
      <c r="P8" s="51"/>
    </row>
    <row r="9" spans="1:16" s="100" customFormat="1" ht="34.799999999999997" hidden="1" thickBot="1">
      <c r="A9" s="40"/>
      <c r="B9" s="98">
        <v>1</v>
      </c>
      <c r="C9" s="139" t="s">
        <v>130</v>
      </c>
      <c r="D9" s="99" t="s">
        <v>131</v>
      </c>
      <c r="E9" s="99" t="s">
        <v>135</v>
      </c>
      <c r="F9" s="140" t="s">
        <v>132</v>
      </c>
      <c r="G9" s="98" t="s">
        <v>126</v>
      </c>
      <c r="H9" s="98" t="s">
        <v>56</v>
      </c>
      <c r="I9" s="98" t="s">
        <v>56</v>
      </c>
      <c r="J9" s="98" t="s">
        <v>286</v>
      </c>
      <c r="K9" s="98" t="s">
        <v>133</v>
      </c>
      <c r="L9" s="98" t="s">
        <v>323</v>
      </c>
      <c r="M9" s="223">
        <v>20000000</v>
      </c>
      <c r="N9" s="143" t="s">
        <v>287</v>
      </c>
      <c r="O9" s="98" t="s">
        <v>134</v>
      </c>
      <c r="P9" s="51"/>
    </row>
    <row r="10" spans="1:16" s="100" customFormat="1" ht="30.6" hidden="1" thickBot="1">
      <c r="A10" s="40"/>
      <c r="B10" s="277" t="s">
        <v>375</v>
      </c>
      <c r="C10" s="277" t="s">
        <v>78</v>
      </c>
      <c r="D10" s="277" t="s">
        <v>123</v>
      </c>
      <c r="E10" s="277" t="s">
        <v>124</v>
      </c>
      <c r="F10" s="277" t="s">
        <v>81</v>
      </c>
      <c r="G10" s="277" t="s">
        <v>79</v>
      </c>
      <c r="H10" s="277" t="s">
        <v>80</v>
      </c>
      <c r="I10" s="277" t="s">
        <v>83</v>
      </c>
      <c r="J10" s="277" t="s">
        <v>77</v>
      </c>
      <c r="K10" s="277" t="s">
        <v>82</v>
      </c>
      <c r="L10" s="277" t="s">
        <v>50</v>
      </c>
      <c r="M10" s="277" t="s">
        <v>129</v>
      </c>
      <c r="N10" s="277" t="s">
        <v>88</v>
      </c>
      <c r="O10" s="277" t="s">
        <v>85</v>
      </c>
      <c r="P10" s="51"/>
    </row>
    <row r="11" spans="1:16" s="100" customFormat="1" ht="171">
      <c r="A11" s="40"/>
      <c r="B11" s="96" t="s">
        <v>376</v>
      </c>
      <c r="C11" s="98" t="s">
        <v>377</v>
      </c>
      <c r="D11" s="98" t="s">
        <v>378</v>
      </c>
      <c r="E11" s="98" t="s">
        <v>379</v>
      </c>
      <c r="F11" s="98" t="s">
        <v>380</v>
      </c>
      <c r="G11" s="98" t="s">
        <v>126</v>
      </c>
      <c r="H11" s="98" t="s">
        <v>381</v>
      </c>
      <c r="I11" s="98" t="s">
        <v>382</v>
      </c>
      <c r="J11" s="98" t="s">
        <v>286</v>
      </c>
      <c r="K11" s="98" t="s">
        <v>383</v>
      </c>
      <c r="L11" s="98" t="s">
        <v>352</v>
      </c>
      <c r="M11" s="98" t="s">
        <v>384</v>
      </c>
      <c r="N11" s="98" t="s">
        <v>385</v>
      </c>
      <c r="O11" s="98" t="s">
        <v>386</v>
      </c>
      <c r="P11" s="51"/>
    </row>
    <row r="12" spans="1:16" s="100" customFormat="1" ht="148.19999999999999">
      <c r="A12" s="40"/>
      <c r="B12" s="96" t="s">
        <v>387</v>
      </c>
      <c r="C12" s="98" t="s">
        <v>388</v>
      </c>
      <c r="D12" s="98" t="s">
        <v>389</v>
      </c>
      <c r="E12" s="98" t="s">
        <v>390</v>
      </c>
      <c r="F12" s="98" t="s">
        <v>391</v>
      </c>
      <c r="G12" s="98" t="s">
        <v>89</v>
      </c>
      <c r="H12" s="98" t="s">
        <v>392</v>
      </c>
      <c r="I12" s="98" t="s">
        <v>382</v>
      </c>
      <c r="J12" s="98" t="s">
        <v>286</v>
      </c>
      <c r="K12" s="98" t="s">
        <v>393</v>
      </c>
      <c r="L12" s="98" t="s">
        <v>354</v>
      </c>
      <c r="M12" s="98" t="s">
        <v>384</v>
      </c>
      <c r="N12" s="98" t="s">
        <v>394</v>
      </c>
      <c r="O12" s="98" t="s">
        <v>386</v>
      </c>
      <c r="P12" s="51"/>
    </row>
    <row r="13" spans="1:16" s="100" customFormat="1" ht="171">
      <c r="A13" s="40"/>
      <c r="B13" s="96" t="s">
        <v>395</v>
      </c>
      <c r="C13" s="98" t="s">
        <v>396</v>
      </c>
      <c r="D13" s="98" t="s">
        <v>397</v>
      </c>
      <c r="E13" s="98" t="s">
        <v>398</v>
      </c>
      <c r="F13" s="98" t="s">
        <v>399</v>
      </c>
      <c r="G13" s="98" t="s">
        <v>125</v>
      </c>
      <c r="H13" s="98" t="s">
        <v>400</v>
      </c>
      <c r="I13" s="98" t="s">
        <v>382</v>
      </c>
      <c r="J13" s="98" t="s">
        <v>401</v>
      </c>
      <c r="K13" s="98" t="s">
        <v>402</v>
      </c>
      <c r="L13" s="98" t="s">
        <v>403</v>
      </c>
      <c r="M13" s="98" t="s">
        <v>404</v>
      </c>
      <c r="N13" s="98" t="s">
        <v>405</v>
      </c>
      <c r="O13" s="98" t="s">
        <v>386</v>
      </c>
      <c r="P13" s="51"/>
    </row>
    <row r="14" spans="1:16" s="100" customFormat="1" ht="148.19999999999999">
      <c r="A14" s="40"/>
      <c r="B14" s="96" t="s">
        <v>406</v>
      </c>
      <c r="C14" s="98" t="s">
        <v>407</v>
      </c>
      <c r="D14" s="98" t="s">
        <v>408</v>
      </c>
      <c r="E14" s="98" t="s">
        <v>409</v>
      </c>
      <c r="F14" s="98" t="s">
        <v>410</v>
      </c>
      <c r="G14" s="98" t="s">
        <v>126</v>
      </c>
      <c r="H14" s="98" t="s">
        <v>411</v>
      </c>
      <c r="I14" s="98" t="s">
        <v>56</v>
      </c>
      <c r="J14" s="98" t="s">
        <v>401</v>
      </c>
      <c r="K14" s="98" t="s">
        <v>412</v>
      </c>
      <c r="L14" s="98" t="s">
        <v>413</v>
      </c>
      <c r="M14" s="98" t="s">
        <v>414</v>
      </c>
      <c r="N14" s="98" t="s">
        <v>415</v>
      </c>
      <c r="O14" s="98" t="s">
        <v>386</v>
      </c>
      <c r="P14" s="51"/>
    </row>
    <row r="15" spans="1:16" s="100" customFormat="1" ht="136.80000000000001">
      <c r="A15" s="40"/>
      <c r="B15" s="96" t="s">
        <v>416</v>
      </c>
      <c r="C15" s="98" t="s">
        <v>417</v>
      </c>
      <c r="D15" s="98" t="s">
        <v>418</v>
      </c>
      <c r="E15" s="98" t="s">
        <v>419</v>
      </c>
      <c r="F15" s="98" t="s">
        <v>420</v>
      </c>
      <c r="G15" s="98" t="s">
        <v>126</v>
      </c>
      <c r="H15" s="98" t="s">
        <v>421</v>
      </c>
      <c r="I15" s="98" t="s">
        <v>56</v>
      </c>
      <c r="J15" s="98" t="s">
        <v>286</v>
      </c>
      <c r="K15" s="98" t="s">
        <v>422</v>
      </c>
      <c r="L15" s="98" t="s">
        <v>352</v>
      </c>
      <c r="M15" s="98" t="s">
        <v>384</v>
      </c>
      <c r="N15" s="98" t="s">
        <v>423</v>
      </c>
      <c r="O15" s="98" t="s">
        <v>386</v>
      </c>
      <c r="P15" s="51"/>
    </row>
    <row r="16" spans="1:16" s="100" customFormat="1" ht="159.6">
      <c r="A16" s="40"/>
      <c r="B16" s="96" t="s">
        <v>424</v>
      </c>
      <c r="C16" s="98" t="s">
        <v>425</v>
      </c>
      <c r="D16" s="98" t="s">
        <v>426</v>
      </c>
      <c r="E16" s="98" t="s">
        <v>427</v>
      </c>
      <c r="F16" s="98" t="s">
        <v>428</v>
      </c>
      <c r="G16" s="98" t="s">
        <v>89</v>
      </c>
      <c r="H16" s="98" t="s">
        <v>429</v>
      </c>
      <c r="I16" s="98" t="s">
        <v>382</v>
      </c>
      <c r="J16" s="98" t="s">
        <v>286</v>
      </c>
      <c r="K16" s="98" t="s">
        <v>430</v>
      </c>
      <c r="L16" s="98" t="s">
        <v>431</v>
      </c>
      <c r="M16" s="98" t="s">
        <v>384</v>
      </c>
      <c r="N16" s="98" t="s">
        <v>432</v>
      </c>
      <c r="O16" s="98" t="s">
        <v>386</v>
      </c>
      <c r="P16" s="51"/>
    </row>
    <row r="17" spans="1:16" s="100" customFormat="1" ht="182.4">
      <c r="A17" s="40"/>
      <c r="B17" s="96" t="s">
        <v>433</v>
      </c>
      <c r="C17" s="98" t="s">
        <v>434</v>
      </c>
      <c r="D17" s="98" t="s">
        <v>435</v>
      </c>
      <c r="E17" s="98" t="s">
        <v>436</v>
      </c>
      <c r="F17" s="98" t="s">
        <v>437</v>
      </c>
      <c r="G17" s="98" t="s">
        <v>126</v>
      </c>
      <c r="H17" s="98" t="s">
        <v>438</v>
      </c>
      <c r="I17" s="98" t="s">
        <v>382</v>
      </c>
      <c r="J17" s="98" t="s">
        <v>286</v>
      </c>
      <c r="K17" s="98" t="s">
        <v>439</v>
      </c>
      <c r="L17" s="98" t="s">
        <v>440</v>
      </c>
      <c r="M17" s="98" t="s">
        <v>384</v>
      </c>
      <c r="N17" s="98" t="s">
        <v>441</v>
      </c>
      <c r="O17" s="98" t="s">
        <v>386</v>
      </c>
      <c r="P17" s="51"/>
    </row>
    <row r="18" spans="1:16" s="100" customFormat="1" ht="20.100000000000001" customHeight="1">
      <c r="A18" s="40"/>
      <c r="B18" s="96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51"/>
    </row>
    <row r="19" spans="1:16" s="100" customFormat="1" ht="20.100000000000001" customHeight="1">
      <c r="A19" s="40"/>
      <c r="B19" s="96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51"/>
    </row>
    <row r="20" spans="1:16" s="100" customFormat="1" ht="20.100000000000001" customHeight="1">
      <c r="A20" s="40"/>
      <c r="B20" s="96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51"/>
    </row>
    <row r="21" spans="1:16" s="100" customFormat="1" ht="20.100000000000001" customHeight="1">
      <c r="A21" s="40"/>
      <c r="B21" s="96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51"/>
    </row>
    <row r="22" spans="1:16" s="100" customFormat="1" ht="20.100000000000001" customHeight="1">
      <c r="A22" s="40"/>
      <c r="B22" s="96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51"/>
    </row>
    <row r="23" spans="1:16" s="100" customFormat="1" ht="20.100000000000001" customHeight="1">
      <c r="A23" s="40"/>
      <c r="B23" s="96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51"/>
    </row>
    <row r="24" spans="1:16" s="100" customFormat="1" ht="20.100000000000001" customHeight="1">
      <c r="A24" s="40"/>
      <c r="B24" s="96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51"/>
    </row>
    <row r="25" spans="1:16" s="100" customFormat="1" ht="20.100000000000001" customHeight="1">
      <c r="A25" s="40"/>
      <c r="B25" s="96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51"/>
    </row>
    <row r="26" spans="1:16" s="100" customFormat="1" ht="20.100000000000001" customHeight="1">
      <c r="A26" s="40"/>
      <c r="B26" s="96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51"/>
    </row>
    <row r="27" spans="1:16" s="100" customFormat="1" ht="20.100000000000001" customHeight="1">
      <c r="A27" s="40"/>
      <c r="B27" s="96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51"/>
    </row>
    <row r="28" spans="1:16" s="100" customFormat="1" ht="20.100000000000001" customHeight="1">
      <c r="A28" s="40"/>
      <c r="B28" s="96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51"/>
    </row>
    <row r="29" spans="1:16" s="100" customFormat="1" ht="20.100000000000001" customHeight="1" thickBot="1">
      <c r="A29" s="40"/>
      <c r="B29" s="96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51"/>
    </row>
    <row r="30" spans="1:16" s="102" customFormat="1" ht="20.100000000000001" customHeight="1" thickBot="1">
      <c r="A30" s="40"/>
      <c r="B30" s="480" t="s">
        <v>442</v>
      </c>
      <c r="C30" s="480"/>
      <c r="D30" s="480"/>
      <c r="E30" s="480"/>
      <c r="F30" s="480"/>
      <c r="G30" s="480"/>
      <c r="H30" s="480"/>
      <c r="I30" s="480"/>
      <c r="J30" s="142"/>
      <c r="K30" s="101"/>
      <c r="L30" s="136"/>
      <c r="M30" s="481" t="s">
        <v>86</v>
      </c>
      <c r="N30" s="481"/>
      <c r="O30" s="134"/>
      <c r="P30" s="51"/>
    </row>
    <row r="31" spans="1:16" s="102" customFormat="1" ht="20.100000000000001" customHeight="1">
      <c r="A31" s="40"/>
      <c r="B31" s="480" t="s">
        <v>87</v>
      </c>
      <c r="C31" s="480"/>
      <c r="D31" s="480"/>
      <c r="E31" s="480"/>
      <c r="F31" s="480"/>
      <c r="G31" s="480"/>
      <c r="H31" s="480"/>
      <c r="I31" s="480"/>
      <c r="J31" s="142"/>
      <c r="K31" s="101"/>
      <c r="L31" s="136"/>
      <c r="M31" s="481" t="s">
        <v>27</v>
      </c>
      <c r="N31" s="481"/>
      <c r="O31" s="135"/>
      <c r="P31" s="51"/>
    </row>
    <row r="32" spans="1:16" ht="13.5" customHeight="1" thickBot="1">
      <c r="A32" s="62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1"/>
    </row>
    <row r="33" spans="3:10" s="44" customFormat="1"/>
    <row r="34" spans="3:10" s="44" customFormat="1"/>
    <row r="35" spans="3:10" s="44" customFormat="1" ht="13.2">
      <c r="C35" s="484" t="s">
        <v>233</v>
      </c>
      <c r="D35" s="484"/>
      <c r="E35" s="479" t="s">
        <v>84</v>
      </c>
      <c r="F35" s="479"/>
      <c r="G35" s="479"/>
      <c r="I35" s="41"/>
      <c r="J35" s="270" t="s">
        <v>332</v>
      </c>
    </row>
    <row r="36" spans="3:10" s="44" customFormat="1" ht="13.2">
      <c r="C36" s="484"/>
      <c r="D36" s="484"/>
      <c r="E36" s="192" t="s">
        <v>58</v>
      </c>
      <c r="F36" s="192" t="s">
        <v>57</v>
      </c>
      <c r="G36" s="192" t="s">
        <v>56</v>
      </c>
      <c r="I36" s="41"/>
      <c r="J36" s="270" t="s">
        <v>286</v>
      </c>
    </row>
    <row r="37" spans="3:10" s="44" customFormat="1" ht="13.2">
      <c r="C37" s="479" t="s">
        <v>79</v>
      </c>
      <c r="D37" s="192" t="s">
        <v>89</v>
      </c>
      <c r="E37" s="191" t="s">
        <v>57</v>
      </c>
      <c r="F37" s="193" t="s">
        <v>56</v>
      </c>
      <c r="G37" s="193" t="s">
        <v>56</v>
      </c>
      <c r="I37" s="41"/>
      <c r="J37" s="270" t="s">
        <v>333</v>
      </c>
    </row>
    <row r="38" spans="3:10" s="44" customFormat="1" ht="13.2">
      <c r="C38" s="479"/>
      <c r="D38" s="192" t="s">
        <v>234</v>
      </c>
      <c r="E38" s="194" t="s">
        <v>58</v>
      </c>
      <c r="F38" s="191" t="s">
        <v>57</v>
      </c>
      <c r="G38" s="193" t="s">
        <v>56</v>
      </c>
      <c r="I38" s="41"/>
      <c r="J38" s="270" t="s">
        <v>334</v>
      </c>
    </row>
    <row r="39" spans="3:10" s="44" customFormat="1" ht="13.2">
      <c r="C39" s="479"/>
      <c r="D39" s="192" t="s">
        <v>125</v>
      </c>
      <c r="E39" s="194" t="s">
        <v>58</v>
      </c>
      <c r="F39" s="194" t="s">
        <v>58</v>
      </c>
      <c r="G39" s="191" t="s">
        <v>57</v>
      </c>
      <c r="I39" s="41"/>
      <c r="J39" s="270" t="s">
        <v>335</v>
      </c>
    </row>
    <row r="40" spans="3:10" s="44" customFormat="1"/>
    <row r="41" spans="3:10" s="44" customFormat="1" ht="13.2">
      <c r="C41" s="195" t="s">
        <v>235</v>
      </c>
      <c r="D41"/>
      <c r="E41"/>
      <c r="F41"/>
      <c r="G41"/>
      <c r="H41"/>
      <c r="I41"/>
    </row>
    <row r="42" spans="3:10" s="44" customFormat="1" ht="13.2">
      <c r="C42" s="195" t="s">
        <v>236</v>
      </c>
      <c r="D42"/>
      <c r="E42"/>
      <c r="F42"/>
      <c r="G42"/>
      <c r="H42"/>
      <c r="I42"/>
    </row>
    <row r="43" spans="3:10" s="44" customFormat="1"/>
    <row r="44" spans="3:10" s="44" customFormat="1"/>
    <row r="45" spans="3:10" s="44" customFormat="1"/>
    <row r="46" spans="3:10" s="44" customFormat="1"/>
    <row r="47" spans="3:10" s="44" customFormat="1"/>
    <row r="48" spans="3:10" s="44" customFormat="1"/>
    <row r="49" s="44" customFormat="1"/>
    <row r="50" s="44" customFormat="1"/>
    <row r="51" s="44" customFormat="1"/>
    <row r="52" s="44" customFormat="1"/>
    <row r="53" s="44" customFormat="1"/>
    <row r="54" s="44" customFormat="1"/>
    <row r="55" s="44" customFormat="1"/>
    <row r="56" s="44" customFormat="1"/>
    <row r="57" s="44" customFormat="1"/>
    <row r="58" s="44" customFormat="1"/>
    <row r="59" s="44" customFormat="1"/>
    <row r="60" s="44" customFormat="1"/>
    <row r="61" s="44" customFormat="1"/>
    <row r="62" s="44" customFormat="1"/>
    <row r="63" s="44" customFormat="1"/>
    <row r="64" s="44" customFormat="1"/>
    <row r="65" s="44" customFormat="1"/>
    <row r="66" s="44" customFormat="1"/>
    <row r="67" s="44" customFormat="1"/>
    <row r="68" s="44" customFormat="1"/>
    <row r="69" s="44" customFormat="1"/>
    <row r="70" s="44" customFormat="1"/>
    <row r="71" s="44" customFormat="1"/>
    <row r="72" s="44" customFormat="1"/>
    <row r="73" s="44" customFormat="1"/>
    <row r="74" s="44" customFormat="1"/>
    <row r="75" s="44" customFormat="1"/>
    <row r="76" s="44" customFormat="1"/>
    <row r="77" s="44" customFormat="1"/>
    <row r="78" s="44" customFormat="1"/>
    <row r="79" s="44" customFormat="1"/>
    <row r="80" s="44" customFormat="1"/>
    <row r="81" s="44" customFormat="1"/>
    <row r="82" s="44" customFormat="1"/>
    <row r="83" s="44" customFormat="1"/>
    <row r="84" s="44" customFormat="1"/>
    <row r="85" s="44" customFormat="1"/>
    <row r="86" s="44" customFormat="1"/>
    <row r="87" s="44" customFormat="1"/>
    <row r="88" s="44" customFormat="1"/>
    <row r="89" s="44" customFormat="1"/>
    <row r="90" s="44" customFormat="1"/>
    <row r="91" s="44" customFormat="1"/>
    <row r="92" s="44" customFormat="1"/>
    <row r="93" s="44" customFormat="1"/>
    <row r="94" s="44" customFormat="1"/>
    <row r="95" s="44" customFormat="1"/>
    <row r="96" s="44" customFormat="1"/>
    <row r="97" s="44" customFormat="1"/>
    <row r="98" s="44" customFormat="1"/>
    <row r="99" s="44" customFormat="1"/>
    <row r="100" s="44" customFormat="1"/>
    <row r="101" s="44" customFormat="1"/>
    <row r="102" s="44" customFormat="1"/>
    <row r="103" s="44" customFormat="1"/>
    <row r="104" s="44" customFormat="1"/>
    <row r="105" s="44" customFormat="1"/>
    <row r="106" s="44" customFormat="1"/>
    <row r="107" s="44" customFormat="1"/>
    <row r="108" s="44" customFormat="1"/>
    <row r="109" s="44" customFormat="1"/>
    <row r="110" s="44" customFormat="1"/>
    <row r="111" s="44" customFormat="1"/>
    <row r="112" s="44" customFormat="1"/>
    <row r="113" s="44" customFormat="1"/>
    <row r="114" s="44" customFormat="1"/>
    <row r="115" s="44" customFormat="1"/>
    <row r="116" s="44" customFormat="1"/>
    <row r="117" s="44" customFormat="1"/>
    <row r="118" s="44" customFormat="1"/>
    <row r="119" s="44" customFormat="1"/>
    <row r="120" s="44" customFormat="1"/>
    <row r="121" s="44" customFormat="1"/>
    <row r="122" s="44" customFormat="1"/>
    <row r="123" s="44" customFormat="1"/>
    <row r="124" s="44" customFormat="1"/>
    <row r="125" s="44" customFormat="1"/>
    <row r="126" s="44" customFormat="1"/>
    <row r="127" s="44" customFormat="1"/>
    <row r="128" s="44" customFormat="1"/>
    <row r="129" s="44" customFormat="1"/>
    <row r="130" s="44" customFormat="1"/>
    <row r="131" s="44" customFormat="1"/>
    <row r="132" s="44" customFormat="1"/>
    <row r="133" s="44" customFormat="1"/>
    <row r="134" s="44" customFormat="1"/>
    <row r="135" s="44" customFormat="1"/>
    <row r="136" s="44" customFormat="1"/>
    <row r="137" s="44" customFormat="1"/>
    <row r="138" s="44" customFormat="1"/>
    <row r="139" s="44" customFormat="1"/>
    <row r="140" s="44" customFormat="1"/>
    <row r="141" s="44" customFormat="1"/>
    <row r="142" s="44" customFormat="1"/>
    <row r="143" s="44" customFormat="1"/>
    <row r="144" s="44" customFormat="1"/>
    <row r="145" s="44" customFormat="1"/>
    <row r="146" s="44" customFormat="1"/>
    <row r="147" s="44" customFormat="1"/>
    <row r="148" s="44" customFormat="1"/>
    <row r="149" s="44" customFormat="1"/>
    <row r="150" s="44" customFormat="1"/>
    <row r="151" s="44" customFormat="1"/>
    <row r="152" s="44" customFormat="1"/>
    <row r="153" s="44" customFormat="1"/>
    <row r="154" s="44" customFormat="1"/>
    <row r="155" s="44" customFormat="1"/>
    <row r="156" s="44" customFormat="1"/>
    <row r="157" s="44" customFormat="1"/>
    <row r="158" s="44" customFormat="1"/>
    <row r="159" s="44" customFormat="1"/>
    <row r="160" s="44" customFormat="1"/>
  </sheetData>
  <sheetProtection selectLockedCells="1" selectUnlockedCells="1"/>
  <mergeCells count="10">
    <mergeCell ref="M7:N7"/>
    <mergeCell ref="G7:H7"/>
    <mergeCell ref="E35:G35"/>
    <mergeCell ref="C35:D36"/>
    <mergeCell ref="B6:J6"/>
    <mergeCell ref="C37:C39"/>
    <mergeCell ref="B30:I30"/>
    <mergeCell ref="M30:N30"/>
    <mergeCell ref="B31:I31"/>
    <mergeCell ref="M31:N31"/>
  </mergeCells>
  <phoneticPr fontId="27" type="noConversion"/>
  <conditionalFormatting sqref="I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FF0000"/>
        <color rgb="FFFFEF9C"/>
      </colorScale>
    </cfRule>
  </conditionalFormatting>
  <dataValidations count="2">
    <dataValidation type="list" operator="equal" allowBlank="1" showErrorMessage="1" sqref="G9 G18:G29" xr:uid="{00000000-0002-0000-0900-000000000000}">
      <formula1>"Alta,Média,Baixa"</formula1>
      <formula2>0</formula2>
    </dataValidation>
    <dataValidation type="list" operator="equal" allowBlank="1" showErrorMessage="1" sqref="H9:I9 H18:I29" xr:uid="{00000000-0002-0000-0900-000001000000}">
      <formula1>"Alto,Médio,Baixo"</formula1>
      <formula2>0</formula2>
    </dataValidation>
  </dataValidations>
  <pageMargins left="0.1701388888888889" right="0.11805555555555555" top="0.60000000000000009" bottom="0.39375000000000004" header="7.8472222222222221E-2" footer="0.11805555555555555"/>
  <pageSetup paperSize="9" scale="45" firstPageNumber="0" orientation="landscape" horizontalDpi="300" verticalDpi="300"/>
  <headerFooter alignWithMargins="0">
    <oddHeader>&amp;R&amp;"Arial,Negrito"&amp;12CORPORATIVO</oddHeader>
    <oddFooter xml:space="preserve">&amp;LGestor: TIC/TIC-EP/GDIEP&amp;CPágina &amp;P de &amp;N&amp;Rversão 1.0 - janeiro/2010 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S28"/>
  <sheetViews>
    <sheetView showGridLines="0" topLeftCell="A2" zoomScale="90" zoomScaleNormal="90" workbookViewId="0">
      <selection activeCell="C6" sqref="C6"/>
    </sheetView>
  </sheetViews>
  <sheetFormatPr defaultColWidth="11.44140625" defaultRowHeight="12.6"/>
  <cols>
    <col min="1" max="1" width="2.21875" style="41" customWidth="1"/>
    <col min="2" max="2" width="25.44140625" style="41" bestFit="1" customWidth="1"/>
    <col min="3" max="3" width="25.44140625" style="41" customWidth="1"/>
    <col min="4" max="4" width="11.33203125" style="41" customWidth="1"/>
    <col min="5" max="5" width="13.88671875" style="41" customWidth="1"/>
    <col min="6" max="6" width="32.33203125" style="41" customWidth="1"/>
    <col min="7" max="7" width="4.44140625" style="41" customWidth="1"/>
    <col min="8" max="8" width="4.21875" style="41" customWidth="1"/>
    <col min="9" max="9" width="5.77734375" style="41" customWidth="1"/>
    <col min="10" max="10" width="2.77734375" style="41" customWidth="1"/>
    <col min="11" max="16384" width="11.44140625" style="41"/>
  </cols>
  <sheetData>
    <row r="1" spans="1:253" ht="13.2" thickBot="1"/>
    <row r="2" spans="1:253" ht="21.75" customHeight="1">
      <c r="A2" s="45"/>
      <c r="B2" s="2"/>
      <c r="C2" s="2"/>
      <c r="D2" s="318"/>
      <c r="E2" s="318"/>
      <c r="F2" s="318"/>
      <c r="G2" s="318"/>
      <c r="H2" s="318"/>
      <c r="I2" s="318"/>
      <c r="J2" s="71"/>
      <c r="HY2" s="72"/>
      <c r="HZ2" s="72"/>
      <c r="IA2" s="72"/>
      <c r="IB2" s="72"/>
      <c r="IC2" s="72"/>
      <c r="ID2" s="72"/>
      <c r="IE2" s="72"/>
      <c r="IF2" s="72"/>
      <c r="IG2" s="72"/>
      <c r="IH2" s="72"/>
      <c r="II2" s="72"/>
      <c r="IJ2" s="72"/>
      <c r="IK2" s="72"/>
      <c r="IL2" s="72"/>
      <c r="IM2" s="72"/>
      <c r="IN2" s="72"/>
      <c r="IO2" s="72"/>
      <c r="IP2" s="72"/>
      <c r="IQ2" s="72"/>
      <c r="IR2" s="72"/>
      <c r="IS2" s="72"/>
    </row>
    <row r="3" spans="1:253" ht="20.25" customHeight="1">
      <c r="A3" s="40"/>
      <c r="B3" s="319" t="str">
        <f>'Declaração de Escopo do Projeto'!B7:H7</f>
        <v>Vertex Londrina 360</v>
      </c>
      <c r="C3" s="319"/>
      <c r="D3" s="319"/>
      <c r="E3" s="319"/>
      <c r="F3" s="319"/>
      <c r="G3" s="319"/>
      <c r="H3" s="319"/>
      <c r="I3" s="319"/>
      <c r="J3" s="73"/>
      <c r="HY3" s="72"/>
      <c r="HZ3" s="72"/>
      <c r="IA3" s="72"/>
      <c r="IB3" s="72"/>
      <c r="IC3" s="72"/>
      <c r="ID3" s="72"/>
      <c r="IE3" s="72"/>
      <c r="IF3" s="72"/>
      <c r="IG3" s="72"/>
      <c r="IH3" s="72"/>
      <c r="II3" s="72"/>
      <c r="IJ3" s="72"/>
      <c r="IK3" s="72"/>
      <c r="IL3" s="72"/>
      <c r="IM3" s="72"/>
      <c r="IN3" s="72"/>
      <c r="IO3" s="72"/>
      <c r="IP3" s="72"/>
      <c r="IQ3" s="72"/>
      <c r="IR3" s="72"/>
      <c r="IS3" s="72"/>
    </row>
    <row r="4" spans="1:253" ht="9" customHeight="1" thickBot="1">
      <c r="A4" s="40"/>
      <c r="B4" s="3"/>
      <c r="C4" s="3"/>
      <c r="D4" s="3"/>
      <c r="E4" s="3"/>
      <c r="F4" s="3"/>
      <c r="G4" s="3"/>
      <c r="H4" s="3"/>
      <c r="I4" s="3"/>
      <c r="J4" s="51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</row>
    <row r="5" spans="1:253" ht="38.25" customHeight="1" thickBot="1">
      <c r="A5" s="40"/>
      <c r="B5" s="74" t="s">
        <v>336</v>
      </c>
      <c r="C5" s="74" t="s">
        <v>4</v>
      </c>
      <c r="D5" s="74" t="s">
        <v>297</v>
      </c>
      <c r="E5" s="74" t="s">
        <v>296</v>
      </c>
      <c r="F5" s="158" t="s">
        <v>206</v>
      </c>
      <c r="G5" s="488" t="s">
        <v>55</v>
      </c>
      <c r="H5" s="488"/>
      <c r="I5" s="488"/>
      <c r="J5" s="51"/>
    </row>
    <row r="6" spans="1:253" ht="27.75" customHeight="1" thickBot="1">
      <c r="A6" s="40"/>
      <c r="B6" s="275" t="s">
        <v>366</v>
      </c>
      <c r="C6" s="75" t="s">
        <v>338</v>
      </c>
      <c r="D6" s="274">
        <v>3</v>
      </c>
      <c r="E6" s="274">
        <v>1</v>
      </c>
      <c r="F6" s="274" t="s">
        <v>342</v>
      </c>
      <c r="G6" s="489" t="s">
        <v>297</v>
      </c>
      <c r="H6" s="489"/>
      <c r="I6" s="489"/>
      <c r="J6" s="51"/>
    </row>
    <row r="7" spans="1:253" ht="27" customHeight="1" thickBot="1">
      <c r="A7" s="40"/>
      <c r="B7" s="77" t="s">
        <v>346</v>
      </c>
      <c r="C7" s="271" t="s">
        <v>566</v>
      </c>
      <c r="D7" s="76">
        <v>3</v>
      </c>
      <c r="E7" s="76">
        <v>1</v>
      </c>
      <c r="F7" s="274" t="s">
        <v>342</v>
      </c>
      <c r="G7" s="79">
        <v>3</v>
      </c>
      <c r="H7" s="493" t="s">
        <v>56</v>
      </c>
      <c r="I7" s="493"/>
      <c r="J7" s="51"/>
    </row>
    <row r="8" spans="1:253" ht="27.75" customHeight="1" thickBot="1">
      <c r="A8" s="40"/>
      <c r="B8" s="77" t="s">
        <v>494</v>
      </c>
      <c r="C8" s="271" t="s">
        <v>567</v>
      </c>
      <c r="D8" s="76">
        <v>3</v>
      </c>
      <c r="E8" s="76">
        <v>1</v>
      </c>
      <c r="F8" s="274" t="s">
        <v>342</v>
      </c>
      <c r="G8" s="79">
        <v>2</v>
      </c>
      <c r="H8" s="494" t="s">
        <v>57</v>
      </c>
      <c r="I8" s="494"/>
      <c r="J8" s="51"/>
    </row>
    <row r="9" spans="1:253" ht="24" customHeight="1">
      <c r="A9" s="40"/>
      <c r="B9" s="77" t="s">
        <v>617</v>
      </c>
      <c r="C9" s="77" t="s">
        <v>616</v>
      </c>
      <c r="D9" s="76">
        <v>1</v>
      </c>
      <c r="E9" s="76">
        <v>0</v>
      </c>
      <c r="F9" s="76" t="s">
        <v>618</v>
      </c>
      <c r="G9" s="79">
        <v>1</v>
      </c>
      <c r="H9" s="495" t="s">
        <v>58</v>
      </c>
      <c r="I9" s="495"/>
      <c r="J9" s="51"/>
    </row>
    <row r="10" spans="1:253" ht="17.100000000000001" customHeight="1">
      <c r="A10" s="40"/>
      <c r="B10" s="77"/>
      <c r="C10" s="77"/>
      <c r="D10" s="78"/>
      <c r="E10" s="78"/>
      <c r="F10" s="78"/>
      <c r="G10" s="496" t="s">
        <v>296</v>
      </c>
      <c r="H10" s="496"/>
      <c r="I10" s="496"/>
      <c r="J10" s="51"/>
    </row>
    <row r="11" spans="1:253" ht="17.100000000000001" customHeight="1">
      <c r="A11" s="40"/>
      <c r="B11" s="77"/>
      <c r="C11" s="77"/>
      <c r="D11" s="78"/>
      <c r="E11" s="78"/>
      <c r="F11" s="78"/>
      <c r="G11" s="79">
        <v>1</v>
      </c>
      <c r="H11" s="237" t="s">
        <v>339</v>
      </c>
      <c r="I11" s="236"/>
      <c r="J11" s="51"/>
    </row>
    <row r="12" spans="1:253" ht="17.100000000000001" customHeight="1">
      <c r="A12" s="40"/>
      <c r="B12" s="77"/>
      <c r="C12" s="77"/>
      <c r="D12" s="78"/>
      <c r="E12" s="78"/>
      <c r="F12" s="78"/>
      <c r="G12" s="79">
        <v>2</v>
      </c>
      <c r="H12" s="238" t="s">
        <v>340</v>
      </c>
      <c r="I12" s="239"/>
      <c r="J12" s="51"/>
    </row>
    <row r="13" spans="1:253" ht="17.100000000000001" customHeight="1" thickBot="1">
      <c r="A13" s="40"/>
      <c r="B13" s="77"/>
      <c r="C13" s="77"/>
      <c r="D13" s="78"/>
      <c r="E13" s="78"/>
      <c r="F13" s="78"/>
      <c r="G13" s="80">
        <v>0</v>
      </c>
      <c r="H13" s="490" t="s">
        <v>341</v>
      </c>
      <c r="I13" s="490"/>
      <c r="J13" s="51"/>
    </row>
    <row r="14" spans="1:253" ht="17.100000000000001" customHeight="1">
      <c r="A14" s="40"/>
      <c r="B14" s="77"/>
      <c r="C14" s="77"/>
      <c r="D14" s="78"/>
      <c r="E14" s="78"/>
      <c r="F14" s="78"/>
      <c r="G14" s="81"/>
      <c r="H14" s="81"/>
      <c r="I14" s="81"/>
      <c r="J14" s="51"/>
    </row>
    <row r="15" spans="1:253" ht="17.100000000000001" customHeight="1">
      <c r="A15" s="40"/>
      <c r="B15" s="77"/>
      <c r="C15" s="77"/>
      <c r="D15" s="78"/>
      <c r="E15" s="78"/>
      <c r="F15" s="78"/>
      <c r="G15" s="3"/>
      <c r="H15" s="3"/>
      <c r="I15" s="3"/>
      <c r="J15" s="51"/>
    </row>
    <row r="16" spans="1:253" ht="17.100000000000001" customHeight="1">
      <c r="A16" s="40"/>
      <c r="B16" s="77"/>
      <c r="C16" s="77"/>
      <c r="D16" s="78"/>
      <c r="E16" s="78"/>
      <c r="F16" s="78"/>
      <c r="G16" s="3"/>
      <c r="H16" s="3"/>
      <c r="I16" s="3"/>
      <c r="J16" s="51"/>
    </row>
    <row r="17" spans="1:10" ht="17.100000000000001" customHeight="1">
      <c r="A17" s="40"/>
      <c r="B17" s="77"/>
      <c r="C17" s="77"/>
      <c r="D17" s="78"/>
      <c r="E17" s="78"/>
      <c r="F17" s="78"/>
      <c r="G17" s="3"/>
      <c r="H17" s="3"/>
      <c r="I17" s="3"/>
      <c r="J17" s="51"/>
    </row>
    <row r="18" spans="1:10" ht="17.100000000000001" customHeight="1">
      <c r="A18" s="40"/>
      <c r="B18" s="77"/>
      <c r="C18" s="77"/>
      <c r="D18" s="78"/>
      <c r="E18" s="78"/>
      <c r="F18" s="78"/>
      <c r="G18" s="3"/>
      <c r="H18" s="3"/>
      <c r="I18" s="3"/>
      <c r="J18" s="51"/>
    </row>
    <row r="19" spans="1:10" ht="17.100000000000001" customHeight="1">
      <c r="A19" s="40"/>
      <c r="B19" s="77"/>
      <c r="C19" s="77"/>
      <c r="D19" s="78"/>
      <c r="E19" s="78"/>
      <c r="F19" s="78"/>
      <c r="G19" s="3"/>
      <c r="H19" s="3"/>
      <c r="I19" s="3"/>
      <c r="J19" s="51"/>
    </row>
    <row r="20" spans="1:10" ht="17.100000000000001" customHeight="1">
      <c r="A20" s="40"/>
      <c r="B20" s="77"/>
      <c r="C20" s="77"/>
      <c r="D20" s="78"/>
      <c r="E20" s="78"/>
      <c r="F20" s="78"/>
      <c r="G20" s="3"/>
      <c r="H20" s="3"/>
      <c r="I20" s="3"/>
      <c r="J20" s="51"/>
    </row>
    <row r="21" spans="1:10" ht="17.100000000000001" customHeight="1">
      <c r="A21" s="40"/>
      <c r="B21" s="77"/>
      <c r="C21" s="77"/>
      <c r="D21" s="78"/>
      <c r="E21" s="78"/>
      <c r="F21" s="78"/>
      <c r="G21" s="3"/>
      <c r="H21" s="3"/>
      <c r="I21" s="3"/>
      <c r="J21" s="51"/>
    </row>
    <row r="22" spans="1:10" ht="17.100000000000001" customHeight="1">
      <c r="A22" s="40"/>
      <c r="B22" s="77"/>
      <c r="C22" s="77"/>
      <c r="D22" s="78"/>
      <c r="E22" s="78"/>
      <c r="F22" s="78"/>
      <c r="G22" s="3"/>
      <c r="H22" s="3"/>
      <c r="I22" s="3"/>
      <c r="J22" s="51"/>
    </row>
    <row r="23" spans="1:10" ht="17.100000000000001" customHeight="1">
      <c r="A23" s="40"/>
      <c r="B23" s="77"/>
      <c r="C23" s="77"/>
      <c r="D23" s="78"/>
      <c r="E23" s="78"/>
      <c r="F23" s="78"/>
      <c r="G23" s="3"/>
      <c r="H23" s="3"/>
      <c r="I23" s="3"/>
      <c r="J23" s="51"/>
    </row>
    <row r="24" spans="1:10" ht="17.100000000000001" customHeight="1">
      <c r="A24" s="40"/>
      <c r="B24" s="77"/>
      <c r="C24" s="77"/>
      <c r="D24" s="78"/>
      <c r="E24" s="78"/>
      <c r="F24" s="78"/>
      <c r="G24" s="3"/>
      <c r="H24" s="3"/>
      <c r="I24" s="3"/>
      <c r="J24" s="51"/>
    </row>
    <row r="25" spans="1:10" ht="17.100000000000001" customHeight="1">
      <c r="A25" s="40"/>
      <c r="B25" s="77"/>
      <c r="C25" s="77"/>
      <c r="D25" s="78"/>
      <c r="E25" s="78"/>
      <c r="F25" s="78"/>
      <c r="G25" s="3"/>
      <c r="H25" s="3"/>
      <c r="I25" s="3"/>
      <c r="J25" s="51"/>
    </row>
    <row r="26" spans="1:10" ht="17.100000000000001" customHeight="1" thickBot="1">
      <c r="A26" s="40"/>
      <c r="B26" s="82"/>
      <c r="C26" s="82"/>
      <c r="D26" s="83"/>
      <c r="E26" s="83"/>
      <c r="F26" s="83"/>
      <c r="G26" s="3"/>
      <c r="H26" s="3"/>
      <c r="I26" s="3"/>
      <c r="J26" s="51"/>
    </row>
    <row r="27" spans="1:10">
      <c r="A27" s="40"/>
      <c r="B27" s="491"/>
      <c r="C27" s="491"/>
      <c r="D27" s="491"/>
      <c r="E27" s="491"/>
      <c r="F27" s="491"/>
      <c r="G27" s="491"/>
      <c r="H27" s="28"/>
      <c r="I27" s="28"/>
      <c r="J27" s="51"/>
    </row>
    <row r="28" spans="1:10" ht="13.2" thickBot="1">
      <c r="A28" s="62"/>
      <c r="B28" s="492"/>
      <c r="C28" s="492"/>
      <c r="D28" s="492"/>
      <c r="E28" s="492"/>
      <c r="F28" s="492"/>
      <c r="G28" s="492"/>
      <c r="H28" s="492"/>
      <c r="I28" s="492"/>
      <c r="J28" s="492"/>
    </row>
  </sheetData>
  <sheetProtection selectLockedCells="1" selectUnlockedCells="1"/>
  <mergeCells count="11">
    <mergeCell ref="B27:G27"/>
    <mergeCell ref="B28:J28"/>
    <mergeCell ref="H7:I7"/>
    <mergeCell ref="H8:I8"/>
    <mergeCell ref="H9:I9"/>
    <mergeCell ref="G10:I10"/>
    <mergeCell ref="D2:I2"/>
    <mergeCell ref="B3:I3"/>
    <mergeCell ref="G5:I5"/>
    <mergeCell ref="G6:I6"/>
    <mergeCell ref="H13:I13"/>
  </mergeCells>
  <phoneticPr fontId="27" type="noConversion"/>
  <conditionalFormatting sqref="D6:D26">
    <cfRule type="cellIs" dxfId="6" priority="4" stopIfTrue="1" operator="equal">
      <formula>3</formula>
    </cfRule>
    <cfRule type="cellIs" dxfId="5" priority="5" stopIfTrue="1" operator="equal">
      <formula>2</formula>
    </cfRule>
    <cfRule type="cellIs" dxfId="4" priority="6" stopIfTrue="1" operator="equal">
      <formula>1</formula>
    </cfRule>
  </conditionalFormatting>
  <conditionalFormatting sqref="E6:E26">
    <cfRule type="cellIs" dxfId="3" priority="8" stopIfTrue="1" operator="equal">
      <formula>1</formula>
    </cfRule>
    <cfRule type="cellIs" dxfId="2" priority="9" stopIfTrue="1" operator="equal">
      <formula>2</formula>
    </cfRule>
  </conditionalFormatting>
  <conditionalFormatting sqref="E6:F26">
    <cfRule type="cellIs" priority="1" stopIfTrue="1" operator="equal">
      <formula>0</formula>
    </cfRule>
  </conditionalFormatting>
  <conditionalFormatting sqref="F6:F26">
    <cfRule type="cellIs" dxfId="1" priority="2" stopIfTrue="1" operator="equal">
      <formula>1</formula>
    </cfRule>
    <cfRule type="cellIs" dxfId="0" priority="3" stopIfTrue="1" operator="equal">
      <formula>2</formula>
    </cfRule>
  </conditionalFormatting>
  <pageMargins left="0.27569444444444446" right="0.27569444444444446" top="0.62013888888888891" bottom="0.6298611111111112" header="0.1701388888888889" footer="0.35416666666666669"/>
  <pageSetup paperSize="9" scale="87" firstPageNumber="0" orientation="landscape" horizontalDpi="300" verticalDpi="300" r:id="rId1"/>
  <headerFooter alignWithMargins="0">
    <oddHeader>&amp;R&amp;"Arial,Negrito"&amp;12CORPORATIVO</oddHeader>
    <oddFooter xml:space="preserve">&amp;LGestor: TIC/TIC-EP/GDIEP&amp;CPágina &amp;P de &amp;N&amp;Rversão 1.0 - janeiro/2010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0BD0-6A01-4AE9-BBE9-ABCEE354C035}">
  <dimension ref="A1:C20"/>
  <sheetViews>
    <sheetView tabSelected="1" topLeftCell="A2" zoomScale="105" workbookViewId="0">
      <selection activeCell="A17" sqref="A17"/>
    </sheetView>
  </sheetViews>
  <sheetFormatPr defaultColWidth="11.44140625" defaultRowHeight="12.6"/>
  <cols>
    <col min="1" max="1" width="29.77734375" style="44" customWidth="1"/>
    <col min="2" max="2" width="61.6640625" style="224" bestFit="1" customWidth="1"/>
    <col min="3" max="3" width="42.33203125" style="41" bestFit="1" customWidth="1"/>
    <col min="4" max="11" width="2.77734375" style="44" customWidth="1"/>
    <col min="12" max="12" width="3.88671875" style="44" customWidth="1"/>
    <col min="13" max="133" width="2.77734375" style="44" customWidth="1"/>
    <col min="134" max="16384" width="11.44140625" style="44"/>
  </cols>
  <sheetData>
    <row r="1" spans="1:3" ht="9" customHeight="1" thickBot="1"/>
    <row r="2" spans="1:3" ht="15" customHeight="1">
      <c r="A2" s="499" t="s">
        <v>364</v>
      </c>
      <c r="B2" s="500"/>
      <c r="C2" s="500"/>
    </row>
    <row r="3" spans="1:3" ht="14.4" thickBot="1">
      <c r="A3" s="196" t="s">
        <v>289</v>
      </c>
      <c r="B3" s="196" t="s">
        <v>367</v>
      </c>
      <c r="C3" s="196" t="s">
        <v>649</v>
      </c>
    </row>
    <row r="4" spans="1:3" s="276" customFormat="1" ht="27.45" customHeight="1" thickBot="1">
      <c r="A4" s="497" t="s">
        <v>365</v>
      </c>
      <c r="B4" s="278" t="s">
        <v>368</v>
      </c>
      <c r="C4" s="278" t="s">
        <v>370</v>
      </c>
    </row>
    <row r="5" spans="1:3" ht="28.2" thickBot="1">
      <c r="A5" s="498"/>
      <c r="B5" s="278" t="s">
        <v>371</v>
      </c>
      <c r="C5" s="278" t="s">
        <v>373</v>
      </c>
    </row>
    <row r="6" spans="1:3" ht="40.950000000000003" customHeight="1">
      <c r="A6" s="555" t="s">
        <v>136</v>
      </c>
      <c r="B6" s="278" t="s">
        <v>445</v>
      </c>
      <c r="C6" s="226"/>
    </row>
    <row r="7" spans="1:3" ht="61.5" customHeight="1">
      <c r="A7" s="555" t="s">
        <v>451</v>
      </c>
      <c r="B7" s="300" t="s">
        <v>452</v>
      </c>
      <c r="C7" s="229"/>
    </row>
    <row r="8" spans="1:3" ht="67.8" customHeight="1">
      <c r="A8" s="555" t="s">
        <v>563</v>
      </c>
      <c r="B8" s="300" t="s">
        <v>564</v>
      </c>
      <c r="C8" s="229" t="s">
        <v>565</v>
      </c>
    </row>
    <row r="9" spans="1:3" ht="13.5" customHeight="1">
      <c r="A9" s="554"/>
      <c r="B9" s="197"/>
      <c r="C9" s="197"/>
    </row>
    <row r="10" spans="1:3" ht="13.8">
      <c r="A10" s="498"/>
      <c r="B10" s="228"/>
      <c r="C10" s="229"/>
    </row>
    <row r="11" spans="1:3" ht="13.8">
      <c r="A11" s="501"/>
      <c r="B11" s="197"/>
      <c r="C11" s="197"/>
    </row>
    <row r="13" spans="1:3">
      <c r="A13" s="44" t="s">
        <v>650</v>
      </c>
    </row>
    <row r="14" spans="1:3">
      <c r="A14" s="44" t="s">
        <v>651</v>
      </c>
    </row>
    <row r="15" spans="1:3">
      <c r="A15" s="44" t="s">
        <v>652</v>
      </c>
    </row>
    <row r="16" spans="1:3">
      <c r="A16" s="44" t="s">
        <v>653</v>
      </c>
    </row>
    <row r="18" spans="3:3">
      <c r="C18" s="41" t="s">
        <v>257</v>
      </c>
    </row>
    <row r="19" spans="3:3">
      <c r="C19" s="44"/>
    </row>
    <row r="20" spans="3:3">
      <c r="C20" s="44"/>
    </row>
  </sheetData>
  <mergeCells count="3">
    <mergeCell ref="A4:A5"/>
    <mergeCell ref="A2:C2"/>
    <mergeCell ref="A10:A1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topLeftCell="B8" workbookViewId="0">
      <selection activeCell="B8" sqref="A1:XFD1048576"/>
    </sheetView>
  </sheetViews>
  <sheetFormatPr defaultColWidth="11.44140625" defaultRowHeight="12.6"/>
  <cols>
    <col min="1" max="1" width="29.77734375" style="44" customWidth="1"/>
    <col min="2" max="2" width="61.6640625" style="224" bestFit="1" customWidth="1"/>
    <col min="3" max="3" width="42.33203125" style="41" bestFit="1" customWidth="1"/>
    <col min="4" max="4" width="28.77734375" style="41" customWidth="1"/>
    <col min="5" max="5" width="43.77734375" style="41" customWidth="1"/>
    <col min="6" max="6" width="30.88671875" style="41" customWidth="1"/>
    <col min="7" max="7" width="5.77734375" style="41" customWidth="1"/>
    <col min="8" max="8" width="4" style="41" customWidth="1"/>
    <col min="9" max="9" width="5.21875" style="41" customWidth="1"/>
    <col min="10" max="18" width="2.77734375" style="44" customWidth="1"/>
    <col min="19" max="19" width="3.88671875" style="44" customWidth="1"/>
    <col min="20" max="140" width="2.77734375" style="44" customWidth="1"/>
    <col min="141" max="16384" width="11.44140625" style="44"/>
  </cols>
  <sheetData>
    <row r="1" spans="1:10" ht="55.5" customHeight="1" thickBot="1"/>
    <row r="2" spans="1:10" ht="21.75" customHeight="1">
      <c r="A2" s="45"/>
      <c r="B2" s="225"/>
      <c r="C2" s="2"/>
      <c r="D2" s="2"/>
      <c r="E2" s="2"/>
      <c r="F2" s="318" t="s">
        <v>16</v>
      </c>
      <c r="G2" s="318"/>
      <c r="H2" s="318"/>
      <c r="I2" s="318"/>
      <c r="J2" s="92"/>
    </row>
    <row r="3" spans="1:10" ht="20.25" customHeight="1">
      <c r="A3" s="40"/>
      <c r="B3" s="28"/>
      <c r="C3" s="319" t="s">
        <v>448</v>
      </c>
      <c r="D3" s="319"/>
      <c r="E3" s="319"/>
      <c r="F3" s="319"/>
      <c r="G3" s="319"/>
      <c r="H3" s="319"/>
      <c r="I3" s="319"/>
      <c r="J3" s="93"/>
    </row>
    <row r="4" spans="1:10" ht="10.5" customHeight="1" thickBot="1">
      <c r="A4" s="40"/>
      <c r="B4" s="28"/>
      <c r="C4" s="3"/>
      <c r="D4" s="3"/>
      <c r="E4" s="3"/>
      <c r="F4" s="94"/>
      <c r="G4" s="94"/>
      <c r="H4" s="94"/>
      <c r="I4" s="94"/>
      <c r="J4" s="93"/>
    </row>
    <row r="5" spans="1:10" ht="26.25" customHeight="1" thickBot="1">
      <c r="A5" s="40"/>
      <c r="B5" s="28"/>
      <c r="C5" s="502" t="s">
        <v>243</v>
      </c>
      <c r="D5" s="503"/>
      <c r="E5" s="503"/>
      <c r="F5" s="503"/>
      <c r="G5" s="503"/>
      <c r="H5" s="503"/>
      <c r="I5" s="504"/>
      <c r="J5" s="93"/>
    </row>
    <row r="6" spans="1:10" ht="13.5" customHeight="1" thickBot="1">
      <c r="A6" s="40"/>
      <c r="B6" s="28"/>
      <c r="C6" s="505"/>
      <c r="D6" s="505"/>
      <c r="E6" s="505"/>
      <c r="F6" s="505"/>
      <c r="G6" s="505"/>
      <c r="H6" s="505"/>
      <c r="I6" s="505"/>
      <c r="J6" s="93"/>
    </row>
    <row r="7" spans="1:10" ht="13.2" thickBot="1">
      <c r="A7" s="62"/>
      <c r="B7" s="211"/>
      <c r="C7" s="506"/>
      <c r="D7" s="506"/>
      <c r="E7" s="506"/>
      <c r="F7" s="506"/>
      <c r="G7" s="506"/>
      <c r="H7" s="506"/>
      <c r="I7" s="506"/>
      <c r="J7" s="63"/>
    </row>
    <row r="8" spans="1:10" ht="15" customHeight="1">
      <c r="A8" s="499" t="s">
        <v>237</v>
      </c>
      <c r="B8" s="500"/>
      <c r="C8" s="500"/>
      <c r="D8" s="500"/>
      <c r="E8" s="500"/>
      <c r="F8" s="500"/>
      <c r="G8" s="500"/>
      <c r="H8" s="500"/>
      <c r="I8" s="500"/>
      <c r="J8" s="500"/>
    </row>
    <row r="9" spans="1:10" ht="13.8">
      <c r="A9" s="196" t="s">
        <v>289</v>
      </c>
      <c r="B9" s="196" t="s">
        <v>238</v>
      </c>
      <c r="C9" s="196" t="s">
        <v>239</v>
      </c>
      <c r="D9" s="196" t="s">
        <v>240</v>
      </c>
      <c r="E9" s="196" t="s">
        <v>241</v>
      </c>
      <c r="F9" s="507" t="s">
        <v>242</v>
      </c>
      <c r="G9" s="507"/>
      <c r="H9" s="507"/>
      <c r="I9" s="507"/>
      <c r="J9" s="507"/>
    </row>
    <row r="10" spans="1:10" ht="14.25" customHeight="1">
      <c r="A10" s="508" t="s">
        <v>290</v>
      </c>
      <c r="B10" s="293" t="s">
        <v>513</v>
      </c>
      <c r="C10" s="272" t="s">
        <v>519</v>
      </c>
      <c r="D10" s="197" t="s">
        <v>291</v>
      </c>
      <c r="E10" s="190" t="s">
        <v>522</v>
      </c>
      <c r="F10" s="371" t="s">
        <v>256</v>
      </c>
      <c r="G10" s="372"/>
      <c r="H10" s="372"/>
      <c r="I10" s="372"/>
      <c r="J10" s="373"/>
    </row>
    <row r="11" spans="1:10" ht="14.25" customHeight="1">
      <c r="A11" s="509"/>
      <c r="B11" s="293" t="s">
        <v>471</v>
      </c>
      <c r="C11" s="272" t="s">
        <v>520</v>
      </c>
      <c r="D11" s="197" t="s">
        <v>291</v>
      </c>
      <c r="E11" s="295">
        <v>0.4375</v>
      </c>
      <c r="F11" s="371" t="s">
        <v>256</v>
      </c>
      <c r="G11" s="372"/>
      <c r="H11" s="372"/>
      <c r="I11" s="372"/>
      <c r="J11" s="373"/>
    </row>
    <row r="12" spans="1:10" ht="14.25" customHeight="1">
      <c r="A12" s="509"/>
      <c r="B12" s="293" t="s">
        <v>516</v>
      </c>
      <c r="C12" s="272" t="s">
        <v>521</v>
      </c>
      <c r="D12" s="197" t="s">
        <v>291</v>
      </c>
      <c r="E12" s="295">
        <v>0.45833333333333331</v>
      </c>
      <c r="F12" s="371" t="s">
        <v>256</v>
      </c>
      <c r="G12" s="372"/>
      <c r="H12" s="372"/>
      <c r="I12" s="372"/>
      <c r="J12" s="373"/>
    </row>
    <row r="13" spans="1:10" ht="14.25" customHeight="1">
      <c r="A13" s="509"/>
      <c r="B13" s="293" t="s">
        <v>472</v>
      </c>
      <c r="C13" s="272" t="s">
        <v>520</v>
      </c>
      <c r="D13" s="197" t="s">
        <v>291</v>
      </c>
      <c r="E13" s="295">
        <v>0.47916666666666669</v>
      </c>
      <c r="F13" s="371" t="s">
        <v>547</v>
      </c>
      <c r="G13" s="372"/>
      <c r="H13" s="372"/>
      <c r="I13" s="372"/>
      <c r="J13" s="373"/>
    </row>
    <row r="14" spans="1:10" ht="14.25" customHeight="1">
      <c r="A14" s="509"/>
      <c r="B14" s="293" t="s">
        <v>517</v>
      </c>
      <c r="C14" s="272" t="s">
        <v>520</v>
      </c>
      <c r="D14" s="197" t="s">
        <v>291</v>
      </c>
      <c r="E14" s="295">
        <v>0.5</v>
      </c>
      <c r="F14" s="371" t="s">
        <v>548</v>
      </c>
      <c r="G14" s="372"/>
      <c r="H14" s="372"/>
      <c r="I14" s="372"/>
      <c r="J14" s="373"/>
    </row>
    <row r="15" spans="1:10" ht="14.25" customHeight="1">
      <c r="A15" s="498"/>
      <c r="B15" s="229"/>
      <c r="C15" s="197"/>
      <c r="D15" s="197"/>
      <c r="E15" s="190"/>
      <c r="F15" s="371"/>
      <c r="G15" s="372"/>
      <c r="H15" s="372"/>
      <c r="I15" s="372"/>
      <c r="J15" s="373"/>
    </row>
    <row r="16" spans="1:10" ht="14.25" customHeight="1" thickBot="1">
      <c r="A16" s="498"/>
      <c r="B16" s="197"/>
      <c r="C16" s="197"/>
      <c r="D16" s="197"/>
      <c r="E16" s="190"/>
      <c r="F16" s="513"/>
      <c r="G16" s="514"/>
      <c r="H16" s="514"/>
      <c r="I16" s="514"/>
      <c r="J16" s="515"/>
    </row>
    <row r="17" spans="1:10" ht="14.25" customHeight="1">
      <c r="A17" s="516" t="s">
        <v>292</v>
      </c>
      <c r="B17" s="297" t="s">
        <v>549</v>
      </c>
      <c r="C17" s="226" t="s">
        <v>519</v>
      </c>
      <c r="D17" s="226" t="s">
        <v>291</v>
      </c>
      <c r="E17" s="298">
        <v>0.58333333333333337</v>
      </c>
      <c r="F17" s="518" t="s">
        <v>343</v>
      </c>
      <c r="G17" s="519"/>
      <c r="H17" s="519"/>
      <c r="I17" s="519"/>
      <c r="J17" s="520"/>
    </row>
    <row r="18" spans="1:10" ht="14.25" customHeight="1">
      <c r="A18" s="498"/>
      <c r="B18" s="273" t="s">
        <v>550</v>
      </c>
      <c r="C18" s="197" t="s">
        <v>553</v>
      </c>
      <c r="D18" s="197" t="s">
        <v>291</v>
      </c>
      <c r="E18" s="197" t="s">
        <v>555</v>
      </c>
      <c r="F18" s="371" t="s">
        <v>256</v>
      </c>
      <c r="G18" s="372"/>
      <c r="H18" s="372"/>
      <c r="I18" s="372"/>
      <c r="J18" s="373"/>
    </row>
    <row r="19" spans="1:10" ht="14.25" customHeight="1">
      <c r="A19" s="498"/>
      <c r="B19" s="273" t="s">
        <v>551</v>
      </c>
      <c r="C19" s="197" t="s">
        <v>468</v>
      </c>
      <c r="D19" s="197" t="s">
        <v>554</v>
      </c>
      <c r="E19" s="197" t="s">
        <v>556</v>
      </c>
      <c r="F19" s="371" t="s">
        <v>547</v>
      </c>
      <c r="G19" s="372"/>
      <c r="H19" s="372"/>
      <c r="I19" s="372"/>
      <c r="J19" s="373"/>
    </row>
    <row r="20" spans="1:10" ht="14.25" customHeight="1">
      <c r="A20" s="498"/>
      <c r="B20" s="273" t="s">
        <v>552</v>
      </c>
      <c r="C20" s="197" t="s">
        <v>520</v>
      </c>
      <c r="D20" s="197" t="s">
        <v>291</v>
      </c>
      <c r="E20" s="299">
        <v>0.6875</v>
      </c>
      <c r="F20" s="371" t="s">
        <v>256</v>
      </c>
      <c r="G20" s="372"/>
      <c r="H20" s="372"/>
      <c r="I20" s="372"/>
      <c r="J20" s="373"/>
    </row>
    <row r="21" spans="1:10" ht="14.25" customHeight="1" thickBot="1">
      <c r="A21" s="517"/>
      <c r="B21" s="227"/>
      <c r="C21" s="227"/>
      <c r="D21" s="227"/>
      <c r="E21" s="227"/>
      <c r="F21" s="521"/>
      <c r="G21" s="521"/>
      <c r="H21" s="521"/>
      <c r="I21" s="521"/>
      <c r="J21" s="521"/>
    </row>
    <row r="22" spans="1:10" ht="14.25" customHeight="1">
      <c r="A22" s="498" t="s">
        <v>293</v>
      </c>
      <c r="B22" s="228" t="s">
        <v>558</v>
      </c>
      <c r="C22" s="229" t="s">
        <v>559</v>
      </c>
      <c r="D22" s="229" t="s">
        <v>560</v>
      </c>
      <c r="E22" s="230" t="s">
        <v>473</v>
      </c>
      <c r="F22" s="510" t="s">
        <v>256</v>
      </c>
      <c r="G22" s="511"/>
      <c r="H22" s="511"/>
      <c r="I22" s="511"/>
      <c r="J22" s="512"/>
    </row>
    <row r="23" spans="1:10" ht="14.25" customHeight="1">
      <c r="A23" s="501"/>
      <c r="B23" s="197" t="s">
        <v>561</v>
      </c>
      <c r="C23" s="197" t="s">
        <v>562</v>
      </c>
      <c r="D23" s="190" t="s">
        <v>291</v>
      </c>
      <c r="E23" s="190" t="s">
        <v>474</v>
      </c>
      <c r="F23" s="371" t="s">
        <v>256</v>
      </c>
      <c r="G23" s="372"/>
      <c r="H23" s="372"/>
      <c r="I23" s="372"/>
      <c r="J23" s="373"/>
    </row>
    <row r="24" spans="1:10">
      <c r="J24" s="41"/>
    </row>
    <row r="25" spans="1:10">
      <c r="J25" s="41"/>
    </row>
    <row r="26" spans="1:10">
      <c r="J26" s="41"/>
    </row>
    <row r="27" spans="1:10">
      <c r="J27" s="41"/>
    </row>
    <row r="28" spans="1:10">
      <c r="J28" s="41"/>
    </row>
    <row r="29" spans="1:10">
      <c r="J29" s="41"/>
    </row>
    <row r="30" spans="1:10">
      <c r="J30" s="41"/>
    </row>
    <row r="31" spans="1:10">
      <c r="J31" s="41"/>
    </row>
    <row r="32" spans="1:10">
      <c r="J32" s="41"/>
    </row>
    <row r="33" spans="3:10">
      <c r="J33" s="41"/>
    </row>
    <row r="34" spans="3:10">
      <c r="C34" s="41" t="s">
        <v>257</v>
      </c>
      <c r="J34" s="41"/>
    </row>
    <row r="35" spans="3:10">
      <c r="C35" s="44"/>
      <c r="J35" s="41"/>
    </row>
    <row r="36" spans="3:10">
      <c r="C36" s="44"/>
      <c r="J36" s="41"/>
    </row>
    <row r="37" spans="3:10">
      <c r="J37" s="41"/>
    </row>
    <row r="38" spans="3:10">
      <c r="J38" s="41"/>
    </row>
    <row r="39" spans="3:10">
      <c r="J39" s="41"/>
    </row>
    <row r="40" spans="3:10">
      <c r="J40" s="41"/>
    </row>
    <row r="41" spans="3:10">
      <c r="J41" s="41"/>
    </row>
    <row r="42" spans="3:10">
      <c r="J42" s="41"/>
    </row>
    <row r="43" spans="3:10">
      <c r="J43" s="41"/>
    </row>
    <row r="44" spans="3:10">
      <c r="J44" s="41"/>
    </row>
    <row r="45" spans="3:10">
      <c r="J45" s="41"/>
    </row>
    <row r="46" spans="3:10">
      <c r="J46" s="41"/>
    </row>
    <row r="47" spans="3:10">
      <c r="J47" s="41"/>
    </row>
    <row r="48" spans="3:10">
      <c r="J48" s="41"/>
    </row>
    <row r="49" spans="10:10">
      <c r="J49" s="41"/>
    </row>
    <row r="50" spans="10:10">
      <c r="J50" s="41"/>
    </row>
    <row r="51" spans="10:10">
      <c r="J51" s="41"/>
    </row>
    <row r="52" spans="10:10">
      <c r="J52" s="41"/>
    </row>
    <row r="53" spans="10:10">
      <c r="J53" s="41"/>
    </row>
    <row r="54" spans="10:10">
      <c r="J54" s="41"/>
    </row>
    <row r="55" spans="10:10">
      <c r="J55" s="41"/>
    </row>
    <row r="56" spans="10:10">
      <c r="J56" s="41"/>
    </row>
  </sheetData>
  <sheetProtection selectLockedCells="1" selectUnlockedCells="1"/>
  <mergeCells count="24">
    <mergeCell ref="A22:A23"/>
    <mergeCell ref="F22:J22"/>
    <mergeCell ref="F23:J23"/>
    <mergeCell ref="F16:J16"/>
    <mergeCell ref="A17:A21"/>
    <mergeCell ref="F17:J17"/>
    <mergeCell ref="F18:J18"/>
    <mergeCell ref="F19:J19"/>
    <mergeCell ref="F20:J20"/>
    <mergeCell ref="F21:J21"/>
    <mergeCell ref="F9:J9"/>
    <mergeCell ref="A10:A16"/>
    <mergeCell ref="F10:J10"/>
    <mergeCell ref="F11:J11"/>
    <mergeCell ref="F12:J12"/>
    <mergeCell ref="F13:J13"/>
    <mergeCell ref="F14:J14"/>
    <mergeCell ref="F15:J15"/>
    <mergeCell ref="A8:J8"/>
    <mergeCell ref="F2:I2"/>
    <mergeCell ref="C3:I3"/>
    <mergeCell ref="C5:I5"/>
    <mergeCell ref="C6:I6"/>
    <mergeCell ref="C7:I7"/>
  </mergeCells>
  <phoneticPr fontId="27" type="noConversion"/>
  <pageMargins left="0.27986111111111112" right="0.2361111111111111" top="0.71944444444444444" bottom="0.19722222222222222" header="0.19652777777777777" footer="0.15763888888888888"/>
  <pageSetup paperSize="9" scale="75" firstPageNumber="0" orientation="portrait" horizontalDpi="300" verticalDpi="300"/>
  <headerFooter alignWithMargins="0">
    <oddHeader>&amp;R&amp;"Arial,Negrito"&amp;12CORPORATIVO</oddHeader>
    <oddFooter xml:space="preserve">&amp;LGestor: TIC/TIC-EP/GDIEP&amp;CPágina &amp;P de &amp;N&amp;Rversão 1.0 - janeiro/2010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4"/>
  <sheetViews>
    <sheetView showGridLines="0" topLeftCell="B1" workbookViewId="0">
      <selection activeCell="N4" sqref="N4"/>
    </sheetView>
  </sheetViews>
  <sheetFormatPr defaultColWidth="11.44140625" defaultRowHeight="12.6"/>
  <cols>
    <col min="1" max="1" width="1.77734375" style="41" customWidth="1"/>
    <col min="2" max="2" width="11.44140625" style="41" customWidth="1"/>
    <col min="3" max="3" width="17.109375" style="41" customWidth="1"/>
    <col min="4" max="4" width="15.6640625" style="41" customWidth="1"/>
    <col min="5" max="5" width="16.44140625" style="41" customWidth="1"/>
    <col min="6" max="6" width="15.33203125" style="41" customWidth="1"/>
    <col min="7" max="7" width="11.44140625" style="41" customWidth="1"/>
    <col min="8" max="8" width="11.44140625" style="103" customWidth="1"/>
    <col min="9" max="9" width="2.77734375" style="103" customWidth="1"/>
    <col min="10" max="10" width="7.44140625" style="41" customWidth="1"/>
    <col min="11" max="11" width="18.21875" style="41" customWidth="1"/>
    <col min="12" max="12" width="1.77734375" style="41" customWidth="1"/>
    <col min="13" max="16384" width="11.44140625" style="41"/>
  </cols>
  <sheetData>
    <row r="1" spans="1:12" ht="7.5" customHeight="1"/>
    <row r="2" spans="1:12" ht="20.25" customHeight="1">
      <c r="A2" s="45"/>
      <c r="B2" s="2"/>
      <c r="C2" s="2"/>
      <c r="D2" s="2"/>
      <c r="E2" s="318" t="s">
        <v>90</v>
      </c>
      <c r="F2" s="318"/>
      <c r="G2" s="318"/>
      <c r="H2" s="318"/>
      <c r="I2" s="318"/>
      <c r="J2" s="318"/>
      <c r="K2" s="318"/>
      <c r="L2" s="71"/>
    </row>
    <row r="3" spans="1:12" ht="19.5" customHeight="1">
      <c r="A3" s="40"/>
      <c r="B3" s="319" t="str">
        <f>'Declaração de Escopo do Projeto'!B7:H7</f>
        <v>Vertex Londrina 360</v>
      </c>
      <c r="C3" s="319"/>
      <c r="D3" s="319"/>
      <c r="E3" s="319"/>
      <c r="F3" s="319"/>
      <c r="G3" s="319"/>
      <c r="H3" s="319"/>
      <c r="I3" s="319"/>
      <c r="J3" s="319"/>
      <c r="K3" s="319"/>
      <c r="L3" s="73"/>
    </row>
    <row r="4" spans="1:12" ht="9" customHeight="1">
      <c r="A4" s="40"/>
      <c r="B4" s="3"/>
      <c r="C4" s="3"/>
      <c r="D4" s="3"/>
      <c r="E4" s="3"/>
      <c r="F4" s="3"/>
      <c r="G4" s="3"/>
      <c r="H4" s="3"/>
      <c r="I4" s="3"/>
      <c r="J4" s="3"/>
      <c r="K4" s="3"/>
      <c r="L4" s="51"/>
    </row>
    <row r="5" spans="1:12" ht="18" customHeight="1">
      <c r="A5" s="40"/>
      <c r="B5" s="531" t="s">
        <v>91</v>
      </c>
      <c r="C5" s="531"/>
      <c r="D5" s="531"/>
      <c r="E5" s="531"/>
      <c r="F5" s="531"/>
      <c r="G5" s="531"/>
      <c r="H5" s="531"/>
      <c r="I5" s="531"/>
      <c r="J5" s="531"/>
      <c r="K5" s="531"/>
      <c r="L5" s="51"/>
    </row>
    <row r="6" spans="1:12" ht="4.5" customHeight="1">
      <c r="A6" s="40"/>
      <c r="B6" s="404"/>
      <c r="C6" s="404"/>
      <c r="D6" s="404"/>
      <c r="E6" s="404"/>
      <c r="F6" s="404"/>
      <c r="G6" s="404"/>
      <c r="H6" s="404"/>
      <c r="I6" s="404"/>
      <c r="J6" s="404"/>
      <c r="K6" s="404"/>
      <c r="L6" s="51"/>
    </row>
    <row r="7" spans="1:12" ht="14.25" customHeight="1">
      <c r="A7" s="40"/>
      <c r="B7" s="531" t="s">
        <v>92</v>
      </c>
      <c r="C7" s="531"/>
      <c r="D7" s="531"/>
      <c r="E7" s="531"/>
      <c r="F7" s="531"/>
      <c r="G7" s="531"/>
      <c r="H7" s="531"/>
      <c r="I7" s="531"/>
      <c r="J7" s="531"/>
      <c r="K7" s="531"/>
      <c r="L7" s="51"/>
    </row>
    <row r="8" spans="1:12" ht="3.75" customHeight="1">
      <c r="A8" s="40"/>
      <c r="B8" s="410"/>
      <c r="C8" s="410"/>
      <c r="D8" s="410"/>
      <c r="E8" s="410"/>
      <c r="F8" s="410"/>
      <c r="G8" s="410"/>
      <c r="H8" s="410"/>
      <c r="I8" s="410"/>
      <c r="J8" s="410"/>
      <c r="K8" s="410"/>
      <c r="L8" s="51"/>
    </row>
    <row r="9" spans="1:12" ht="18.75" customHeight="1">
      <c r="A9" s="40"/>
      <c r="B9" s="532" t="s">
        <v>619</v>
      </c>
      <c r="C9" s="532"/>
      <c r="D9" s="532"/>
      <c r="E9" s="532"/>
      <c r="F9" s="532"/>
      <c r="G9" s="532"/>
      <c r="H9" s="532" t="s">
        <v>620</v>
      </c>
      <c r="I9" s="532"/>
      <c r="J9" s="532"/>
      <c r="K9" s="532"/>
      <c r="L9" s="51"/>
    </row>
    <row r="10" spans="1:12" ht="18.75" customHeight="1">
      <c r="A10" s="40"/>
      <c r="B10" s="532" t="s">
        <v>621</v>
      </c>
      <c r="C10" s="532"/>
      <c r="D10" s="532"/>
      <c r="E10" s="532"/>
      <c r="F10" s="532"/>
      <c r="G10" s="532"/>
      <c r="H10" s="532" t="s">
        <v>622</v>
      </c>
      <c r="I10" s="532"/>
      <c r="J10" s="532"/>
      <c r="K10" s="532"/>
      <c r="L10" s="51"/>
    </row>
    <row r="11" spans="1:12" ht="8.25" customHeight="1">
      <c r="A11" s="40"/>
      <c r="B11" s="404"/>
      <c r="C11" s="404"/>
      <c r="D11" s="404"/>
      <c r="E11" s="404"/>
      <c r="F11" s="404"/>
      <c r="G11" s="404"/>
      <c r="H11" s="404"/>
      <c r="I11" s="404"/>
      <c r="J11" s="404"/>
      <c r="K11" s="404"/>
      <c r="L11" s="51"/>
    </row>
    <row r="12" spans="1:12" ht="14.25" customHeight="1">
      <c r="A12" s="40"/>
      <c r="B12" s="522" t="s">
        <v>93</v>
      </c>
      <c r="C12" s="522"/>
      <c r="D12" s="522"/>
      <c r="E12" s="522"/>
      <c r="F12" s="522"/>
      <c r="G12" s="522"/>
      <c r="H12" s="522"/>
      <c r="I12" s="522"/>
      <c r="J12" s="522"/>
      <c r="K12" s="522"/>
      <c r="L12" s="51"/>
    </row>
    <row r="13" spans="1:12" s="44" customFormat="1" ht="6" customHeight="1">
      <c r="A13" s="40"/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51"/>
    </row>
    <row r="14" spans="1:12" ht="25.95" customHeight="1">
      <c r="A14" s="40"/>
      <c r="B14" s="411" t="s">
        <v>623</v>
      </c>
      <c r="C14" s="411"/>
      <c r="D14" s="411"/>
      <c r="E14" s="411"/>
      <c r="F14" s="411"/>
      <c r="G14" s="411"/>
      <c r="H14" s="411"/>
      <c r="I14" s="411"/>
      <c r="J14" s="411"/>
      <c r="K14" s="411"/>
      <c r="L14" s="51"/>
    </row>
    <row r="15" spans="1:12" ht="25.95" customHeight="1">
      <c r="A15" s="40"/>
      <c r="B15" s="411"/>
      <c r="C15" s="411"/>
      <c r="D15" s="411"/>
      <c r="E15" s="411"/>
      <c r="F15" s="411"/>
      <c r="G15" s="411"/>
      <c r="H15" s="411"/>
      <c r="I15" s="411"/>
      <c r="J15" s="411"/>
      <c r="K15" s="411"/>
      <c r="L15" s="51"/>
    </row>
    <row r="16" spans="1:12" ht="25.95" customHeight="1">
      <c r="A16" s="40"/>
      <c r="B16" s="411"/>
      <c r="C16" s="411"/>
      <c r="D16" s="411"/>
      <c r="E16" s="411"/>
      <c r="F16" s="411"/>
      <c r="G16" s="411"/>
      <c r="H16" s="411"/>
      <c r="I16" s="411"/>
      <c r="J16" s="411"/>
      <c r="K16" s="411"/>
      <c r="L16" s="51"/>
    </row>
    <row r="17" spans="1:12" ht="25.95" customHeight="1">
      <c r="A17" s="40"/>
      <c r="B17" s="411"/>
      <c r="C17" s="411"/>
      <c r="D17" s="411"/>
      <c r="E17" s="411"/>
      <c r="F17" s="411"/>
      <c r="G17" s="411"/>
      <c r="H17" s="411"/>
      <c r="I17" s="411"/>
      <c r="J17" s="411"/>
      <c r="K17" s="411"/>
      <c r="L17" s="51"/>
    </row>
    <row r="18" spans="1:12" ht="25.95" customHeight="1">
      <c r="A18" s="40"/>
      <c r="B18" s="411"/>
      <c r="C18" s="411"/>
      <c r="D18" s="411"/>
      <c r="E18" s="411"/>
      <c r="F18" s="411"/>
      <c r="G18" s="411"/>
      <c r="H18" s="411"/>
      <c r="I18" s="411"/>
      <c r="J18" s="411"/>
      <c r="K18" s="411"/>
      <c r="L18" s="51"/>
    </row>
    <row r="19" spans="1:12" ht="25.95" customHeight="1">
      <c r="A19" s="40"/>
      <c r="B19" s="411"/>
      <c r="C19" s="411"/>
      <c r="D19" s="411"/>
      <c r="E19" s="411"/>
      <c r="F19" s="411"/>
      <c r="G19" s="411"/>
      <c r="H19" s="411"/>
      <c r="I19" s="411"/>
      <c r="J19" s="411"/>
      <c r="K19" s="411"/>
      <c r="L19" s="51"/>
    </row>
    <row r="20" spans="1:12" ht="25.95" customHeight="1">
      <c r="A20" s="40"/>
      <c r="B20" s="411"/>
      <c r="C20" s="411"/>
      <c r="D20" s="411"/>
      <c r="E20" s="411"/>
      <c r="F20" s="411"/>
      <c r="G20" s="411"/>
      <c r="H20" s="411"/>
      <c r="I20" s="411"/>
      <c r="J20" s="411"/>
      <c r="K20" s="411"/>
      <c r="L20" s="51"/>
    </row>
    <row r="21" spans="1:12" ht="25.95" customHeight="1">
      <c r="A21" s="40"/>
      <c r="B21" s="411"/>
      <c r="C21" s="411"/>
      <c r="D21" s="411"/>
      <c r="E21" s="411"/>
      <c r="F21" s="411"/>
      <c r="G21" s="411"/>
      <c r="H21" s="411"/>
      <c r="I21" s="411"/>
      <c r="J21" s="411"/>
      <c r="K21" s="411"/>
      <c r="L21" s="51"/>
    </row>
    <row r="22" spans="1:12" ht="25.95" customHeight="1">
      <c r="A22" s="40"/>
      <c r="B22" s="411"/>
      <c r="C22" s="411"/>
      <c r="D22" s="411"/>
      <c r="E22" s="411"/>
      <c r="F22" s="411"/>
      <c r="G22" s="411"/>
      <c r="H22" s="411"/>
      <c r="I22" s="411"/>
      <c r="J22" s="411"/>
      <c r="K22" s="411"/>
      <c r="L22" s="51"/>
    </row>
    <row r="23" spans="1:12" ht="9.75" customHeight="1">
      <c r="A23" s="40"/>
      <c r="B23" s="404"/>
      <c r="C23" s="404"/>
      <c r="D23" s="404"/>
      <c r="E23" s="404"/>
      <c r="F23" s="404"/>
      <c r="G23" s="404"/>
      <c r="H23" s="404"/>
      <c r="I23" s="404"/>
      <c r="J23" s="404"/>
      <c r="K23" s="404"/>
      <c r="L23" s="51"/>
    </row>
    <row r="24" spans="1:12" ht="12.75" customHeight="1">
      <c r="A24" s="40"/>
      <c r="B24" s="522" t="s">
        <v>94</v>
      </c>
      <c r="C24" s="522"/>
      <c r="D24" s="522"/>
      <c r="E24" s="522"/>
      <c r="F24" s="522"/>
      <c r="G24" s="522"/>
      <c r="H24" s="522"/>
      <c r="I24" s="522"/>
      <c r="J24" s="522"/>
      <c r="K24" s="522"/>
      <c r="L24" s="51"/>
    </row>
    <row r="25" spans="1:12" ht="6" customHeight="1">
      <c r="A25" s="40"/>
      <c r="B25" s="410"/>
      <c r="C25" s="410"/>
      <c r="D25" s="410"/>
      <c r="E25" s="410"/>
      <c r="F25" s="410"/>
      <c r="G25" s="410"/>
      <c r="H25" s="410"/>
      <c r="I25" s="410"/>
      <c r="J25" s="410"/>
      <c r="K25" s="410"/>
      <c r="L25" s="51"/>
    </row>
    <row r="26" spans="1:12" ht="28.05" customHeight="1">
      <c r="A26" s="40"/>
      <c r="B26" s="411" t="s">
        <v>624</v>
      </c>
      <c r="C26" s="411"/>
      <c r="D26" s="411"/>
      <c r="E26" s="411"/>
      <c r="F26" s="411"/>
      <c r="G26" s="411"/>
      <c r="H26" s="411"/>
      <c r="I26" s="411"/>
      <c r="J26" s="411"/>
      <c r="K26" s="411"/>
      <c r="L26" s="51"/>
    </row>
    <row r="27" spans="1:12" ht="28.05" customHeight="1">
      <c r="A27" s="40"/>
      <c r="B27" s="411"/>
      <c r="C27" s="411"/>
      <c r="D27" s="411"/>
      <c r="E27" s="411"/>
      <c r="F27" s="411"/>
      <c r="G27" s="411"/>
      <c r="H27" s="411"/>
      <c r="I27" s="411"/>
      <c r="J27" s="411"/>
      <c r="K27" s="411"/>
      <c r="L27" s="51"/>
    </row>
    <row r="28" spans="1:12" ht="28.05" customHeight="1">
      <c r="A28" s="40"/>
      <c r="B28" s="411"/>
      <c r="C28" s="411"/>
      <c r="D28" s="411"/>
      <c r="E28" s="411"/>
      <c r="F28" s="411"/>
      <c r="G28" s="411"/>
      <c r="H28" s="411"/>
      <c r="I28" s="411"/>
      <c r="J28" s="411"/>
      <c r="K28" s="411"/>
      <c r="L28" s="51"/>
    </row>
    <row r="29" spans="1:12" ht="28.05" customHeight="1">
      <c r="A29" s="40"/>
      <c r="B29" s="411"/>
      <c r="C29" s="411"/>
      <c r="D29" s="411"/>
      <c r="E29" s="411"/>
      <c r="F29" s="411"/>
      <c r="G29" s="411"/>
      <c r="H29" s="411"/>
      <c r="I29" s="411"/>
      <c r="J29" s="411"/>
      <c r="K29" s="411"/>
      <c r="L29" s="51"/>
    </row>
    <row r="30" spans="1:12" ht="28.05" customHeight="1">
      <c r="A30" s="40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51"/>
    </row>
    <row r="31" spans="1:12" ht="28.05" customHeight="1">
      <c r="A31" s="40"/>
      <c r="B31" s="411"/>
      <c r="C31" s="411"/>
      <c r="D31" s="411"/>
      <c r="E31" s="411"/>
      <c r="F31" s="411"/>
      <c r="G31" s="411"/>
      <c r="H31" s="411"/>
      <c r="I31" s="411"/>
      <c r="J31" s="411"/>
      <c r="K31" s="411"/>
      <c r="L31" s="51"/>
    </row>
    <row r="32" spans="1:12" ht="9" customHeight="1">
      <c r="A32" s="40"/>
      <c r="B32" s="410"/>
      <c r="C32" s="410"/>
      <c r="D32" s="410"/>
      <c r="E32" s="410"/>
      <c r="F32" s="410"/>
      <c r="G32" s="410"/>
      <c r="H32" s="410"/>
      <c r="I32" s="410"/>
      <c r="J32" s="410"/>
      <c r="K32" s="410"/>
      <c r="L32" s="51"/>
    </row>
    <row r="33" spans="1:12" ht="42" customHeight="1">
      <c r="A33" s="40"/>
      <c r="B33" s="530" t="s">
        <v>95</v>
      </c>
      <c r="C33" s="523" t="s">
        <v>625</v>
      </c>
      <c r="D33" s="523"/>
      <c r="E33" s="523"/>
      <c r="F33" s="523"/>
      <c r="G33" s="523"/>
      <c r="H33" s="523"/>
      <c r="I33" s="523"/>
      <c r="J33" s="523"/>
      <c r="K33" s="523"/>
      <c r="L33" s="51"/>
    </row>
    <row r="34" spans="1:12" ht="42" customHeight="1">
      <c r="A34" s="40"/>
      <c r="B34" s="530"/>
      <c r="C34" s="523" t="s">
        <v>626</v>
      </c>
      <c r="D34" s="523"/>
      <c r="E34" s="523"/>
      <c r="F34" s="523"/>
      <c r="G34" s="523"/>
      <c r="H34" s="523"/>
      <c r="I34" s="523"/>
      <c r="J34" s="523"/>
      <c r="K34" s="523"/>
      <c r="L34" s="51"/>
    </row>
    <row r="35" spans="1:12" ht="42" customHeight="1">
      <c r="A35" s="40"/>
      <c r="B35" s="530"/>
      <c r="C35" s="523" t="s">
        <v>627</v>
      </c>
      <c r="D35" s="523"/>
      <c r="E35" s="523"/>
      <c r="F35" s="523"/>
      <c r="G35" s="523"/>
      <c r="H35" s="523"/>
      <c r="I35" s="523"/>
      <c r="J35" s="523"/>
      <c r="K35" s="523"/>
      <c r="L35" s="51"/>
    </row>
    <row r="36" spans="1:12" ht="42" customHeight="1">
      <c r="A36" s="40"/>
      <c r="B36" s="530"/>
      <c r="C36" s="523" t="s">
        <v>628</v>
      </c>
      <c r="D36" s="523"/>
      <c r="E36" s="523"/>
      <c r="F36" s="523"/>
      <c r="G36" s="523"/>
      <c r="H36" s="523"/>
      <c r="I36" s="523"/>
      <c r="J36" s="523"/>
      <c r="K36" s="523"/>
      <c r="L36" s="51"/>
    </row>
    <row r="37" spans="1:12" ht="9" customHeight="1">
      <c r="A37" s="40"/>
      <c r="B37" s="404"/>
      <c r="C37" s="404"/>
      <c r="D37" s="404"/>
      <c r="E37" s="404"/>
      <c r="F37" s="404"/>
      <c r="G37" s="404"/>
      <c r="H37" s="404"/>
      <c r="I37" s="404"/>
      <c r="J37" s="404"/>
      <c r="K37" s="404"/>
      <c r="L37" s="51"/>
    </row>
    <row r="38" spans="1:12" ht="12.75" customHeight="1">
      <c r="A38" s="40"/>
      <c r="B38" s="522" t="s">
        <v>96</v>
      </c>
      <c r="C38" s="522"/>
      <c r="D38" s="522"/>
      <c r="E38" s="522"/>
      <c r="F38" s="522"/>
      <c r="G38" s="522"/>
      <c r="H38" s="522"/>
      <c r="I38" s="522"/>
      <c r="J38" s="522"/>
      <c r="K38" s="522"/>
      <c r="L38" s="51"/>
    </row>
    <row r="39" spans="1:12" ht="24" customHeight="1">
      <c r="A39" s="40"/>
      <c r="B39" s="524" t="s">
        <v>629</v>
      </c>
      <c r="C39" s="524"/>
      <c r="D39" s="524"/>
      <c r="E39" s="524"/>
      <c r="F39" s="524"/>
      <c r="G39" s="524"/>
      <c r="H39" s="524"/>
      <c r="I39" s="524"/>
      <c r="J39" s="524"/>
      <c r="K39" s="524"/>
      <c r="L39" s="51"/>
    </row>
    <row r="40" spans="1:12" ht="24" customHeight="1">
      <c r="A40" s="40"/>
      <c r="B40" s="527" t="s">
        <v>630</v>
      </c>
      <c r="C40" s="527"/>
      <c r="D40" s="527"/>
      <c r="E40" s="527"/>
      <c r="F40" s="527"/>
      <c r="G40" s="527"/>
      <c r="H40" s="527"/>
      <c r="I40" s="527"/>
      <c r="J40" s="527"/>
      <c r="K40" s="527"/>
      <c r="L40" s="51"/>
    </row>
    <row r="41" spans="1:12" ht="24" customHeight="1">
      <c r="A41" s="40"/>
      <c r="B41" s="524" t="s">
        <v>631</v>
      </c>
      <c r="C41" s="524"/>
      <c r="D41" s="524"/>
      <c r="E41" s="524"/>
      <c r="F41" s="524"/>
      <c r="G41" s="524"/>
      <c r="H41" s="524"/>
      <c r="I41" s="524"/>
      <c r="J41" s="524"/>
      <c r="K41" s="524"/>
      <c r="L41" s="51"/>
    </row>
    <row r="42" spans="1:12" ht="24" customHeight="1">
      <c r="A42" s="40"/>
      <c r="B42" s="527" t="s">
        <v>632</v>
      </c>
      <c r="C42" s="527"/>
      <c r="D42" s="527"/>
      <c r="E42" s="527"/>
      <c r="F42" s="527"/>
      <c r="G42" s="527"/>
      <c r="H42" s="527"/>
      <c r="I42" s="527"/>
      <c r="J42" s="527"/>
      <c r="K42" s="527"/>
      <c r="L42" s="51"/>
    </row>
    <row r="43" spans="1:12" ht="24" customHeight="1">
      <c r="A43" s="40"/>
      <c r="B43" s="524" t="s">
        <v>633</v>
      </c>
      <c r="C43" s="524"/>
      <c r="D43" s="524"/>
      <c r="E43" s="524"/>
      <c r="F43" s="524"/>
      <c r="G43" s="524"/>
      <c r="H43" s="524"/>
      <c r="I43" s="524"/>
      <c r="J43" s="524"/>
      <c r="K43" s="524"/>
      <c r="L43" s="51"/>
    </row>
    <row r="44" spans="1:12" ht="24" customHeight="1">
      <c r="A44" s="40"/>
      <c r="B44" s="527" t="s">
        <v>634</v>
      </c>
      <c r="C44" s="527"/>
      <c r="D44" s="527"/>
      <c r="E44" s="527"/>
      <c r="F44" s="527"/>
      <c r="G44" s="527"/>
      <c r="H44" s="527"/>
      <c r="I44" s="527"/>
      <c r="J44" s="527"/>
      <c r="K44" s="527"/>
      <c r="L44" s="51"/>
    </row>
    <row r="45" spans="1:12" ht="24" customHeight="1">
      <c r="A45" s="40"/>
      <c r="B45" s="528" t="s">
        <v>635</v>
      </c>
      <c r="C45" s="528"/>
      <c r="D45" s="528"/>
      <c r="E45" s="528"/>
      <c r="F45" s="528"/>
      <c r="G45" s="528"/>
      <c r="H45" s="528"/>
      <c r="I45" s="528"/>
      <c r="J45" s="528"/>
      <c r="K45" s="528"/>
      <c r="L45" s="51"/>
    </row>
    <row r="46" spans="1:12" ht="24" customHeight="1">
      <c r="A46" s="40"/>
      <c r="B46" s="529" t="s">
        <v>97</v>
      </c>
      <c r="C46" s="529"/>
      <c r="D46" s="529"/>
      <c r="E46" s="529"/>
      <c r="F46" s="529"/>
      <c r="G46" s="529"/>
      <c r="H46" s="529"/>
      <c r="I46" s="529"/>
      <c r="J46" s="529"/>
      <c r="K46" s="529"/>
      <c r="L46" s="51"/>
    </row>
    <row r="47" spans="1:12" ht="24" customHeight="1">
      <c r="A47" s="40"/>
      <c r="B47" s="524" t="s">
        <v>636</v>
      </c>
      <c r="C47" s="524"/>
      <c r="D47" s="524"/>
      <c r="E47" s="524"/>
      <c r="F47" s="524"/>
      <c r="G47" s="524"/>
      <c r="H47" s="524"/>
      <c r="I47" s="524"/>
      <c r="J47" s="524"/>
      <c r="K47" s="524"/>
      <c r="L47" s="51"/>
    </row>
    <row r="48" spans="1:12" ht="24" customHeight="1">
      <c r="A48" s="40"/>
      <c r="B48" s="411" t="s">
        <v>637</v>
      </c>
      <c r="C48" s="411"/>
      <c r="D48" s="411"/>
      <c r="E48" s="411"/>
      <c r="F48" s="411"/>
      <c r="G48" s="411"/>
      <c r="H48" s="411"/>
      <c r="I48" s="411"/>
      <c r="J48" s="411"/>
      <c r="K48" s="411"/>
      <c r="L48" s="51"/>
    </row>
    <row r="49" spans="1:12" ht="24" customHeight="1">
      <c r="A49" s="40"/>
      <c r="B49" s="524" t="s">
        <v>638</v>
      </c>
      <c r="C49" s="524"/>
      <c r="D49" s="524"/>
      <c r="E49" s="524"/>
      <c r="F49" s="524"/>
      <c r="G49" s="524"/>
      <c r="H49" s="524"/>
      <c r="I49" s="524"/>
      <c r="J49" s="524"/>
      <c r="K49" s="524"/>
      <c r="L49" s="51"/>
    </row>
    <row r="50" spans="1:12" ht="24" customHeight="1">
      <c r="A50" s="40"/>
      <c r="B50" s="411" t="s">
        <v>639</v>
      </c>
      <c r="C50" s="411"/>
      <c r="D50" s="411"/>
      <c r="E50" s="411"/>
      <c r="F50" s="411"/>
      <c r="G50" s="411"/>
      <c r="H50" s="411"/>
      <c r="I50" s="411"/>
      <c r="J50" s="411"/>
      <c r="K50" s="411"/>
      <c r="L50" s="51"/>
    </row>
    <row r="51" spans="1:12" ht="24" customHeight="1">
      <c r="A51" s="40"/>
      <c r="B51" s="524" t="s">
        <v>640</v>
      </c>
      <c r="C51" s="524"/>
      <c r="D51" s="524"/>
      <c r="E51" s="524"/>
      <c r="F51" s="524"/>
      <c r="G51" s="524"/>
      <c r="H51" s="524"/>
      <c r="I51" s="524"/>
      <c r="J51" s="524"/>
      <c r="K51" s="524"/>
      <c r="L51" s="51"/>
    </row>
    <row r="52" spans="1:12" ht="24" customHeight="1">
      <c r="A52" s="40"/>
      <c r="B52" s="411" t="s">
        <v>641</v>
      </c>
      <c r="C52" s="411"/>
      <c r="D52" s="411"/>
      <c r="E52" s="411"/>
      <c r="F52" s="411"/>
      <c r="G52" s="411"/>
      <c r="H52" s="411"/>
      <c r="I52" s="411"/>
      <c r="J52" s="411"/>
      <c r="K52" s="411"/>
      <c r="L52" s="51"/>
    </row>
    <row r="53" spans="1:12" ht="24" customHeight="1">
      <c r="A53" s="40"/>
      <c r="B53" s="525" t="s">
        <v>642</v>
      </c>
      <c r="C53" s="525"/>
      <c r="D53" s="525"/>
      <c r="E53" s="525"/>
      <c r="F53" s="525"/>
      <c r="G53" s="525"/>
      <c r="H53" s="525"/>
      <c r="I53" s="525"/>
      <c r="J53" s="525"/>
      <c r="K53" s="525"/>
      <c r="L53" s="51"/>
    </row>
    <row r="54" spans="1:12" ht="24" customHeight="1">
      <c r="A54" s="40"/>
      <c r="B54" s="526" t="s">
        <v>643</v>
      </c>
      <c r="C54" s="526"/>
      <c r="D54" s="526"/>
      <c r="E54" s="526"/>
      <c r="F54" s="526"/>
      <c r="G54" s="526"/>
      <c r="H54" s="526"/>
      <c r="I54" s="526"/>
      <c r="J54" s="526"/>
      <c r="K54" s="526"/>
      <c r="L54" s="51"/>
    </row>
    <row r="55" spans="1:12" ht="24" customHeight="1">
      <c r="A55" s="40"/>
      <c r="B55" s="525" t="s">
        <v>644</v>
      </c>
      <c r="C55" s="525"/>
      <c r="D55" s="525"/>
      <c r="E55" s="525"/>
      <c r="F55" s="525"/>
      <c r="G55" s="525"/>
      <c r="H55" s="525"/>
      <c r="I55" s="525"/>
      <c r="J55" s="525"/>
      <c r="K55" s="525"/>
      <c r="L55" s="51"/>
    </row>
    <row r="56" spans="1:12" ht="12.75" customHeight="1">
      <c r="A56" s="40"/>
      <c r="B56" s="522" t="s">
        <v>98</v>
      </c>
      <c r="C56" s="522"/>
      <c r="D56" s="522"/>
      <c r="E56" s="522"/>
      <c r="F56" s="522"/>
      <c r="G56" s="522"/>
      <c r="H56" s="522"/>
      <c r="I56" s="522"/>
      <c r="J56" s="522"/>
      <c r="K56" s="522"/>
      <c r="L56" s="51"/>
    </row>
    <row r="57" spans="1:12" ht="6" customHeight="1">
      <c r="A57" s="40"/>
      <c r="B57" s="410"/>
      <c r="C57" s="410"/>
      <c r="D57" s="410"/>
      <c r="E57" s="410"/>
      <c r="F57" s="410"/>
      <c r="G57" s="410"/>
      <c r="H57" s="410"/>
      <c r="I57" s="410"/>
      <c r="J57" s="410"/>
      <c r="K57" s="410"/>
      <c r="L57" s="51"/>
    </row>
    <row r="58" spans="1:12" ht="30" customHeight="1">
      <c r="A58" s="40"/>
      <c r="B58" s="411" t="s">
        <v>645</v>
      </c>
      <c r="C58" s="411"/>
      <c r="D58" s="411"/>
      <c r="E58" s="411"/>
      <c r="F58" s="411"/>
      <c r="G58" s="411"/>
      <c r="H58" s="411"/>
      <c r="I58" s="411"/>
      <c r="J58" s="411"/>
      <c r="K58" s="411"/>
      <c r="L58" s="51"/>
    </row>
    <row r="59" spans="1:12" ht="30" customHeight="1">
      <c r="A59" s="40"/>
      <c r="B59" s="411"/>
      <c r="C59" s="411"/>
      <c r="D59" s="411"/>
      <c r="E59" s="411"/>
      <c r="F59" s="411"/>
      <c r="G59" s="411"/>
      <c r="H59" s="411"/>
      <c r="I59" s="411"/>
      <c r="J59" s="411"/>
      <c r="K59" s="411"/>
      <c r="L59" s="51"/>
    </row>
    <row r="60" spans="1:12" ht="30" customHeight="1">
      <c r="A60" s="40"/>
      <c r="B60" s="411"/>
      <c r="C60" s="411"/>
      <c r="D60" s="411"/>
      <c r="E60" s="411"/>
      <c r="F60" s="411"/>
      <c r="G60" s="411"/>
      <c r="H60" s="411"/>
      <c r="I60" s="411"/>
      <c r="J60" s="411"/>
      <c r="K60" s="411"/>
      <c r="L60" s="51"/>
    </row>
    <row r="61" spans="1:12" ht="30" customHeight="1">
      <c r="A61" s="40"/>
      <c r="B61" s="411"/>
      <c r="C61" s="411"/>
      <c r="D61" s="411"/>
      <c r="E61" s="411"/>
      <c r="F61" s="411"/>
      <c r="G61" s="411"/>
      <c r="H61" s="411"/>
      <c r="I61" s="411"/>
      <c r="J61" s="411"/>
      <c r="K61" s="411"/>
      <c r="L61" s="51"/>
    </row>
    <row r="62" spans="1:12" ht="30" customHeight="1">
      <c r="A62" s="40"/>
      <c r="B62" s="411"/>
      <c r="C62" s="411"/>
      <c r="D62" s="411"/>
      <c r="E62" s="411"/>
      <c r="F62" s="411"/>
      <c r="G62" s="411"/>
      <c r="H62" s="411"/>
      <c r="I62" s="411"/>
      <c r="J62" s="411"/>
      <c r="K62" s="411"/>
      <c r="L62" s="51"/>
    </row>
    <row r="63" spans="1:12" ht="30" customHeight="1">
      <c r="A63" s="40"/>
      <c r="B63" s="411"/>
      <c r="C63" s="411"/>
      <c r="D63" s="411"/>
      <c r="E63" s="411"/>
      <c r="F63" s="411"/>
      <c r="G63" s="411"/>
      <c r="H63" s="411"/>
      <c r="I63" s="411"/>
      <c r="J63" s="411"/>
      <c r="K63" s="411"/>
      <c r="L63" s="51"/>
    </row>
    <row r="64" spans="1:12" ht="30" customHeight="1">
      <c r="A64" s="40"/>
      <c r="B64" s="411"/>
      <c r="C64" s="411"/>
      <c r="D64" s="411"/>
      <c r="E64" s="411"/>
      <c r="F64" s="411"/>
      <c r="G64" s="411"/>
      <c r="H64" s="411"/>
      <c r="I64" s="411"/>
      <c r="J64" s="411"/>
      <c r="K64" s="411"/>
      <c r="L64" s="51"/>
    </row>
    <row r="65" spans="1:12" ht="30" customHeight="1">
      <c r="A65" s="40"/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51"/>
    </row>
    <row r="66" spans="1:12" ht="30" customHeight="1">
      <c r="A66" s="40"/>
      <c r="B66" s="411"/>
      <c r="C66" s="411"/>
      <c r="D66" s="411"/>
      <c r="E66" s="411"/>
      <c r="F66" s="411"/>
      <c r="G66" s="411"/>
      <c r="H66" s="411"/>
      <c r="I66" s="411"/>
      <c r="J66" s="411"/>
      <c r="K66" s="411"/>
      <c r="L66" s="51"/>
    </row>
    <row r="67" spans="1:12" ht="30" customHeight="1">
      <c r="A67" s="40"/>
      <c r="B67" s="411"/>
      <c r="C67" s="411"/>
      <c r="D67" s="411"/>
      <c r="E67" s="411"/>
      <c r="F67" s="411"/>
      <c r="G67" s="411"/>
      <c r="H67" s="411"/>
      <c r="I67" s="411"/>
      <c r="J67" s="411"/>
      <c r="K67" s="411"/>
      <c r="L67" s="51"/>
    </row>
    <row r="68" spans="1:12" ht="8.25" customHeight="1">
      <c r="A68" s="40"/>
      <c r="B68" s="404"/>
      <c r="C68" s="404"/>
      <c r="D68" s="404"/>
      <c r="E68" s="404"/>
      <c r="F68" s="404"/>
      <c r="G68" s="404"/>
      <c r="H68" s="404"/>
      <c r="I68" s="404"/>
      <c r="J68" s="404"/>
      <c r="K68" s="404"/>
      <c r="L68" s="51"/>
    </row>
    <row r="69" spans="1:12" ht="12.75" customHeight="1">
      <c r="A69" s="40"/>
      <c r="B69" s="522" t="s">
        <v>26</v>
      </c>
      <c r="C69" s="522"/>
      <c r="D69" s="522"/>
      <c r="E69" s="522"/>
      <c r="F69" s="522"/>
      <c r="G69" s="522"/>
      <c r="H69" s="522"/>
      <c r="I69" s="522"/>
      <c r="J69" s="522"/>
      <c r="K69" s="522"/>
      <c r="L69" s="51"/>
    </row>
    <row r="70" spans="1:12" ht="6" customHeight="1">
      <c r="A70" s="40"/>
      <c r="B70" s="410"/>
      <c r="C70" s="410"/>
      <c r="D70" s="410"/>
      <c r="E70" s="410"/>
      <c r="F70" s="410"/>
      <c r="G70" s="410"/>
      <c r="H70" s="410"/>
      <c r="I70" s="410"/>
      <c r="J70" s="410"/>
      <c r="K70" s="410"/>
      <c r="L70" s="51"/>
    </row>
    <row r="71" spans="1:12" ht="18.75" customHeight="1">
      <c r="A71" s="40"/>
      <c r="B71" s="523" t="s">
        <v>646</v>
      </c>
      <c r="C71" s="523"/>
      <c r="D71" s="523"/>
      <c r="E71" s="523"/>
      <c r="F71" s="523"/>
      <c r="G71" s="523"/>
      <c r="H71" s="523" t="s">
        <v>613</v>
      </c>
      <c r="I71" s="523"/>
      <c r="J71" s="523"/>
      <c r="K71" s="523"/>
      <c r="L71" s="51"/>
    </row>
    <row r="72" spans="1:12" ht="16.5" customHeight="1">
      <c r="A72" s="40"/>
      <c r="B72" s="411" t="s">
        <v>647</v>
      </c>
      <c r="C72" s="411"/>
      <c r="D72" s="411"/>
      <c r="E72" s="411"/>
      <c r="F72" s="411"/>
      <c r="G72" s="411"/>
      <c r="H72" s="523" t="s">
        <v>613</v>
      </c>
      <c r="I72" s="523"/>
      <c r="J72" s="523"/>
      <c r="K72" s="523"/>
      <c r="L72" s="51"/>
    </row>
    <row r="73" spans="1:12">
      <c r="A73" s="105"/>
      <c r="B73" s="404"/>
      <c r="C73" s="404"/>
      <c r="D73" s="404"/>
      <c r="E73" s="404"/>
      <c r="F73" s="404"/>
      <c r="G73" s="404"/>
      <c r="H73" s="404"/>
      <c r="I73" s="404"/>
      <c r="J73" s="404"/>
      <c r="K73" s="404"/>
      <c r="L73" s="106"/>
    </row>
    <row r="74" spans="1:12">
      <c r="A74" s="107"/>
      <c r="L74" s="108"/>
    </row>
  </sheetData>
  <sheetProtection selectLockedCells="1" selectUnlockedCells="1"/>
  <mergeCells count="54">
    <mergeCell ref="B24:K24"/>
    <mergeCell ref="B25:K25"/>
    <mergeCell ref="B26:K31"/>
    <mergeCell ref="B32:K32"/>
    <mergeCell ref="E2:K2"/>
    <mergeCell ref="B3:K3"/>
    <mergeCell ref="B5:K5"/>
    <mergeCell ref="B6:K6"/>
    <mergeCell ref="B7:K7"/>
    <mergeCell ref="B8:K8"/>
    <mergeCell ref="B9:G9"/>
    <mergeCell ref="H9:K9"/>
    <mergeCell ref="B10:G10"/>
    <mergeCell ref="H10:K10"/>
    <mergeCell ref="B11:K11"/>
    <mergeCell ref="B12:K12"/>
    <mergeCell ref="B13:K13"/>
    <mergeCell ref="B14:K22"/>
    <mergeCell ref="B23:K23"/>
    <mergeCell ref="B46:K46"/>
    <mergeCell ref="B47:K47"/>
    <mergeCell ref="B48:K48"/>
    <mergeCell ref="B49:K49"/>
    <mergeCell ref="B33:B36"/>
    <mergeCell ref="C33:K33"/>
    <mergeCell ref="C34:K34"/>
    <mergeCell ref="C35:K35"/>
    <mergeCell ref="C36:K36"/>
    <mergeCell ref="B37:K37"/>
    <mergeCell ref="B38:K38"/>
    <mergeCell ref="B39:K39"/>
    <mergeCell ref="B40:K40"/>
    <mergeCell ref="B41:K41"/>
    <mergeCell ref="B42:K42"/>
    <mergeCell ref="B43:K43"/>
    <mergeCell ref="B44:K44"/>
    <mergeCell ref="B45:K45"/>
    <mergeCell ref="B72:G72"/>
    <mergeCell ref="H72:K72"/>
    <mergeCell ref="B73:K73"/>
    <mergeCell ref="B50:K50"/>
    <mergeCell ref="B51:K51"/>
    <mergeCell ref="B52:K52"/>
    <mergeCell ref="B53:K53"/>
    <mergeCell ref="B54:K54"/>
    <mergeCell ref="B55:K55"/>
    <mergeCell ref="B56:K56"/>
    <mergeCell ref="B57:K57"/>
    <mergeCell ref="B58:K67"/>
    <mergeCell ref="B68:K68"/>
    <mergeCell ref="B69:K69"/>
    <mergeCell ref="B70:K70"/>
    <mergeCell ref="B71:G71"/>
    <mergeCell ref="H71:K71"/>
  </mergeCells>
  <phoneticPr fontId="27" type="noConversion"/>
  <pageMargins left="0" right="0" top="0.59027777777777779" bottom="0.43263888888888891" header="0.19652777777777777" footer="0.2361111111111111"/>
  <pageSetup paperSize="9" scale="80" firstPageNumber="0" orientation="portrait" horizontalDpi="300" verticalDpi="300"/>
  <headerFooter alignWithMargins="0">
    <oddHeader>&amp;R&amp;"Arial,Negrito"&amp;12CORPORATIVO</oddHeader>
    <oddFooter xml:space="preserve">&amp;LGestor: TIC/TIC-EP/GDIEP&amp;C&amp;P&amp;Rversão 1.0 - janeiro/2010 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57"/>
  <sheetViews>
    <sheetView showGridLines="0" workbookViewId="0">
      <selection activeCell="R55" sqref="R55"/>
    </sheetView>
  </sheetViews>
  <sheetFormatPr defaultColWidth="11.44140625" defaultRowHeight="12.6"/>
  <cols>
    <col min="1" max="1" width="1.77734375" style="41" customWidth="1"/>
    <col min="2" max="2" width="9.77734375" style="41" customWidth="1"/>
    <col min="3" max="3" width="8.77734375" style="41" customWidth="1"/>
    <col min="4" max="4" width="13.33203125" style="41" customWidth="1"/>
    <col min="5" max="5" width="9.44140625" style="41" customWidth="1"/>
    <col min="6" max="6" width="20.77734375" style="41" customWidth="1"/>
    <col min="7" max="7" width="11.44140625" style="41" customWidth="1"/>
    <col min="8" max="8" width="11.44140625" style="103" customWidth="1"/>
    <col min="9" max="9" width="2.77734375" style="103" customWidth="1"/>
    <col min="10" max="10" width="2.77734375" style="41" customWidth="1"/>
    <col min="11" max="11" width="22.21875" style="41" customWidth="1"/>
    <col min="12" max="12" width="1.77734375" style="41" customWidth="1"/>
    <col min="13" max="16384" width="11.44140625" style="41"/>
  </cols>
  <sheetData>
    <row r="2" spans="1:12" ht="27" customHeight="1">
      <c r="A2" s="109"/>
      <c r="B2" s="110"/>
      <c r="C2" s="110"/>
      <c r="D2" s="110"/>
      <c r="E2" s="110"/>
      <c r="F2" s="318" t="s">
        <v>99</v>
      </c>
      <c r="G2" s="318"/>
      <c r="H2" s="318"/>
      <c r="I2" s="318"/>
      <c r="J2" s="318"/>
      <c r="K2" s="318"/>
      <c r="L2" s="71"/>
    </row>
    <row r="3" spans="1:12" ht="21" customHeight="1">
      <c r="A3" s="111"/>
      <c r="B3" s="319" t="str">
        <f>'Declaração de Escopo do Projeto'!B7:H7</f>
        <v>Vertex Londrina 360</v>
      </c>
      <c r="C3" s="319"/>
      <c r="D3" s="319"/>
      <c r="E3" s="319"/>
      <c r="F3" s="319"/>
      <c r="G3" s="319"/>
      <c r="H3" s="319"/>
      <c r="I3" s="319"/>
      <c r="J3" s="319"/>
      <c r="K3" s="319"/>
      <c r="L3" s="73"/>
    </row>
    <row r="4" spans="1:12" ht="6.75" customHeight="1">
      <c r="A4" s="111"/>
      <c r="B4" s="112"/>
      <c r="C4" s="112"/>
      <c r="D4" s="112"/>
      <c r="E4" s="112"/>
      <c r="F4" s="112"/>
      <c r="G4" s="112"/>
      <c r="H4" s="112"/>
      <c r="I4" s="113"/>
      <c r="J4" s="113"/>
      <c r="K4" s="113"/>
      <c r="L4" s="114"/>
    </row>
    <row r="5" spans="1:12" ht="13.5" customHeight="1">
      <c r="A5" s="40"/>
      <c r="B5" s="405" t="s">
        <v>30</v>
      </c>
      <c r="C5" s="405"/>
      <c r="D5" s="405"/>
      <c r="E5" s="405"/>
      <c r="F5" s="405"/>
      <c r="G5" s="405"/>
      <c r="H5" s="405"/>
      <c r="I5" s="405"/>
      <c r="J5" s="405"/>
      <c r="K5" s="405"/>
      <c r="L5" s="51"/>
    </row>
    <row r="6" spans="1:12" ht="6" customHeight="1">
      <c r="A6" s="40"/>
      <c r="B6" s="553"/>
      <c r="C6" s="553"/>
      <c r="D6" s="553"/>
      <c r="E6" s="553"/>
      <c r="F6" s="553"/>
      <c r="G6" s="553"/>
      <c r="H6" s="553"/>
      <c r="I6" s="553"/>
      <c r="J6" s="553"/>
      <c r="K6" s="553"/>
      <c r="L6" s="51"/>
    </row>
    <row r="7" spans="1:12" ht="12.75" customHeight="1">
      <c r="A7" s="40"/>
      <c r="B7" s="552" t="s">
        <v>448</v>
      </c>
      <c r="C7" s="552"/>
      <c r="D7" s="552"/>
      <c r="E7" s="552"/>
      <c r="F7" s="552"/>
      <c r="G7" s="552"/>
      <c r="H7" s="552"/>
      <c r="I7" s="28"/>
      <c r="J7" s="29"/>
      <c r="K7" s="115" t="s">
        <v>31</v>
      </c>
      <c r="L7" s="93"/>
    </row>
    <row r="8" spans="1:12" ht="6" customHeight="1">
      <c r="A8" s="40"/>
      <c r="B8" s="31"/>
      <c r="C8" s="31"/>
      <c r="D8" s="31"/>
      <c r="E8" s="31"/>
      <c r="F8" s="31"/>
      <c r="G8" s="31"/>
      <c r="H8" s="31"/>
      <c r="I8" s="28"/>
      <c r="J8" s="3"/>
      <c r="K8" s="3"/>
      <c r="L8" s="93"/>
    </row>
    <row r="9" spans="1:12" ht="12.75" customHeight="1">
      <c r="A9" s="40"/>
      <c r="B9" s="408" t="s">
        <v>330</v>
      </c>
      <c r="C9" s="408"/>
      <c r="D9" s="28" t="s">
        <v>591</v>
      </c>
      <c r="E9" s="408" t="s">
        <v>122</v>
      </c>
      <c r="F9" s="408"/>
      <c r="G9" s="408" t="s">
        <v>344</v>
      </c>
      <c r="H9" s="408"/>
      <c r="I9" s="28"/>
      <c r="J9" s="29" t="s">
        <v>121</v>
      </c>
      <c r="K9" s="115" t="s">
        <v>33</v>
      </c>
      <c r="L9" s="51"/>
    </row>
    <row r="10" spans="1:12" ht="5.25" customHeight="1">
      <c r="A10" s="40"/>
      <c r="B10" s="3"/>
      <c r="C10" s="3"/>
      <c r="D10" s="3"/>
      <c r="E10" s="3"/>
      <c r="F10" s="3"/>
      <c r="G10" s="3"/>
      <c r="H10" s="3"/>
      <c r="I10" s="3"/>
      <c r="J10" s="3"/>
      <c r="K10" s="3"/>
      <c r="L10" s="51"/>
    </row>
    <row r="11" spans="1:12" ht="12.75" customHeight="1">
      <c r="A11" s="40"/>
      <c r="B11" s="28"/>
      <c r="C11" s="28"/>
      <c r="D11" s="28"/>
      <c r="E11" s="116" t="s">
        <v>100</v>
      </c>
      <c r="F11" s="115"/>
      <c r="G11" s="552" t="s">
        <v>254</v>
      </c>
      <c r="H11" s="552"/>
      <c r="I11" s="3"/>
      <c r="J11" s="3"/>
      <c r="K11" s="3"/>
      <c r="L11" s="93"/>
    </row>
    <row r="12" spans="1:12" ht="6" customHeight="1">
      <c r="A12" s="40"/>
      <c r="B12" s="28"/>
      <c r="C12" s="28"/>
      <c r="D12" s="28"/>
      <c r="E12" s="31"/>
      <c r="F12" s="3"/>
      <c r="G12" s="3"/>
      <c r="H12" s="3"/>
      <c r="I12" s="3"/>
      <c r="J12" s="3"/>
      <c r="K12" s="3"/>
      <c r="L12" s="93"/>
    </row>
    <row r="13" spans="1:12" ht="12.75" customHeight="1">
      <c r="A13" s="40"/>
      <c r="B13" s="344" t="s">
        <v>34</v>
      </c>
      <c r="C13" s="344"/>
      <c r="D13" s="344"/>
      <c r="E13" s="425" t="s">
        <v>35</v>
      </c>
      <c r="F13" s="425"/>
      <c r="G13" s="425"/>
      <c r="H13" s="425"/>
      <c r="I13" s="3"/>
      <c r="J13" s="3"/>
      <c r="K13" s="3"/>
      <c r="L13" s="93"/>
    </row>
    <row r="14" spans="1:12" ht="9" customHeight="1">
      <c r="A14" s="40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51"/>
    </row>
    <row r="15" spans="1:12" ht="13.5" customHeight="1">
      <c r="A15" s="40"/>
      <c r="B15" s="405" t="s">
        <v>101</v>
      </c>
      <c r="C15" s="405"/>
      <c r="D15" s="405"/>
      <c r="E15" s="405"/>
      <c r="F15" s="405"/>
      <c r="G15" s="405"/>
      <c r="H15" s="405"/>
      <c r="I15" s="405"/>
      <c r="J15" s="405"/>
      <c r="K15" s="405"/>
      <c r="L15" s="51"/>
    </row>
    <row r="16" spans="1:12" ht="6" customHeight="1">
      <c r="A16" s="40"/>
      <c r="B16" s="410"/>
      <c r="C16" s="410"/>
      <c r="D16" s="410"/>
      <c r="E16" s="410"/>
      <c r="F16" s="410"/>
      <c r="G16" s="410"/>
      <c r="H16" s="410"/>
      <c r="I16" s="410"/>
      <c r="J16" s="410"/>
      <c r="K16" s="410"/>
      <c r="L16" s="51"/>
    </row>
    <row r="17" spans="1:12" ht="12.75" customHeight="1">
      <c r="A17" s="40"/>
      <c r="B17" s="117" t="s">
        <v>102</v>
      </c>
      <c r="C17" s="538" t="s">
        <v>4</v>
      </c>
      <c r="D17" s="538"/>
      <c r="E17" s="538"/>
      <c r="F17" s="538"/>
      <c r="G17" s="538"/>
      <c r="H17" s="538"/>
      <c r="I17" s="538" t="s">
        <v>50</v>
      </c>
      <c r="J17" s="538"/>
      <c r="K17" s="538"/>
      <c r="L17" s="51"/>
    </row>
    <row r="18" spans="1:12" ht="42" customHeight="1">
      <c r="A18" s="40"/>
      <c r="B18" s="104">
        <v>1</v>
      </c>
      <c r="C18" s="542" t="s">
        <v>592</v>
      </c>
      <c r="D18" s="542"/>
      <c r="E18" s="542"/>
      <c r="F18" s="542"/>
      <c r="G18" s="542"/>
      <c r="H18" s="542"/>
      <c r="I18" s="539" t="s">
        <v>593</v>
      </c>
      <c r="J18" s="539"/>
      <c r="K18" s="539"/>
      <c r="L18" s="51"/>
    </row>
    <row r="19" spans="1:12" ht="42" customHeight="1">
      <c r="A19" s="40"/>
      <c r="B19" s="104">
        <v>2</v>
      </c>
      <c r="C19" s="542" t="s">
        <v>594</v>
      </c>
      <c r="D19" s="542"/>
      <c r="E19" s="542"/>
      <c r="F19" s="542"/>
      <c r="G19" s="542"/>
      <c r="H19" s="542"/>
      <c r="I19" s="539" t="s">
        <v>595</v>
      </c>
      <c r="J19" s="539"/>
      <c r="K19" s="539"/>
      <c r="L19" s="51"/>
    </row>
    <row r="20" spans="1:12" ht="42" customHeight="1">
      <c r="A20" s="40"/>
      <c r="B20" s="104">
        <v>3</v>
      </c>
      <c r="C20" s="542" t="s">
        <v>596</v>
      </c>
      <c r="D20" s="542"/>
      <c r="E20" s="542"/>
      <c r="F20" s="542"/>
      <c r="G20" s="542"/>
      <c r="H20" s="542"/>
      <c r="I20" s="539" t="s">
        <v>597</v>
      </c>
      <c r="J20" s="539"/>
      <c r="K20" s="539"/>
      <c r="L20" s="51"/>
    </row>
    <row r="21" spans="1:12" ht="42" customHeight="1">
      <c r="A21" s="40"/>
      <c r="B21" s="104">
        <v>4</v>
      </c>
      <c r="C21" s="542" t="s">
        <v>598</v>
      </c>
      <c r="D21" s="542"/>
      <c r="E21" s="542"/>
      <c r="F21" s="542"/>
      <c r="G21" s="542"/>
      <c r="H21" s="542"/>
      <c r="I21" s="539" t="s">
        <v>599</v>
      </c>
      <c r="J21" s="539"/>
      <c r="K21" s="539"/>
      <c r="L21" s="51"/>
    </row>
    <row r="22" spans="1:12" ht="12.75" customHeight="1">
      <c r="A22" s="40"/>
      <c r="B22" s="104"/>
      <c r="C22" s="411"/>
      <c r="D22" s="411"/>
      <c r="E22" s="411"/>
      <c r="F22" s="411"/>
      <c r="G22" s="411"/>
      <c r="H22" s="411"/>
      <c r="I22" s="551"/>
      <c r="J22" s="551"/>
      <c r="K22" s="551"/>
      <c r="L22" s="51"/>
    </row>
    <row r="23" spans="1:12" ht="9" customHeight="1">
      <c r="A23" s="40"/>
      <c r="B23" s="409"/>
      <c r="C23" s="409"/>
      <c r="D23" s="409"/>
      <c r="E23" s="409"/>
      <c r="F23" s="409"/>
      <c r="G23" s="409"/>
      <c r="H23" s="409"/>
      <c r="I23" s="409"/>
      <c r="J23" s="409"/>
      <c r="K23" s="409"/>
      <c r="L23" s="51"/>
    </row>
    <row r="24" spans="1:12">
      <c r="A24" s="40"/>
      <c r="B24" s="405" t="s">
        <v>103</v>
      </c>
      <c r="C24" s="405"/>
      <c r="D24" s="405"/>
      <c r="E24" s="405"/>
      <c r="F24" s="405"/>
      <c r="G24" s="405"/>
      <c r="H24" s="405"/>
      <c r="I24" s="405"/>
      <c r="J24" s="405"/>
      <c r="K24" s="405"/>
      <c r="L24" s="51"/>
    </row>
    <row r="25" spans="1:12" ht="6" customHeight="1">
      <c r="A25" s="40"/>
      <c r="B25" s="410"/>
      <c r="C25" s="410"/>
      <c r="D25" s="410"/>
      <c r="E25" s="410"/>
      <c r="F25" s="410"/>
      <c r="G25" s="410"/>
      <c r="H25" s="410"/>
      <c r="I25" s="410"/>
      <c r="J25" s="410"/>
      <c r="K25" s="410"/>
      <c r="L25" s="51"/>
    </row>
    <row r="26" spans="1:12" ht="12.75" customHeight="1">
      <c r="A26" s="40"/>
      <c r="B26" s="549" t="s">
        <v>600</v>
      </c>
      <c r="C26" s="549"/>
      <c r="D26" s="549"/>
      <c r="E26" s="549"/>
      <c r="F26" s="549"/>
      <c r="G26" s="550" t="s">
        <v>104</v>
      </c>
      <c r="H26" s="550"/>
      <c r="I26" s="550"/>
      <c r="J26" s="550"/>
      <c r="K26" s="550"/>
      <c r="L26" s="51"/>
    </row>
    <row r="27" spans="1:12" ht="12.75" customHeight="1">
      <c r="A27" s="40"/>
      <c r="B27" s="545" t="s">
        <v>105</v>
      </c>
      <c r="C27" s="545"/>
      <c r="D27" s="545"/>
      <c r="E27" s="545"/>
      <c r="F27" s="545"/>
      <c r="G27" s="546" t="s">
        <v>601</v>
      </c>
      <c r="H27" s="546"/>
      <c r="I27" s="546"/>
      <c r="J27" s="546"/>
      <c r="K27" s="546"/>
      <c r="L27" s="51"/>
    </row>
    <row r="28" spans="1:12" ht="12.75" customHeight="1">
      <c r="A28" s="40"/>
      <c r="B28" s="545" t="s">
        <v>106</v>
      </c>
      <c r="C28" s="545"/>
      <c r="D28" s="545"/>
      <c r="E28" s="545"/>
      <c r="F28" s="545"/>
      <c r="G28" s="546" t="s">
        <v>107</v>
      </c>
      <c r="H28" s="546"/>
      <c r="I28" s="546"/>
      <c r="J28" s="546"/>
      <c r="K28" s="546"/>
      <c r="L28" s="51"/>
    </row>
    <row r="29" spans="1:12" ht="13.35" customHeight="1">
      <c r="A29" s="40"/>
      <c r="B29" s="545" t="s">
        <v>108</v>
      </c>
      <c r="C29" s="545"/>
      <c r="D29" s="545"/>
      <c r="E29" s="545"/>
      <c r="F29" s="545"/>
      <c r="G29" s="546" t="s">
        <v>109</v>
      </c>
      <c r="H29" s="546"/>
      <c r="I29" s="546"/>
      <c r="J29" s="546"/>
      <c r="K29" s="546"/>
      <c r="L29" s="51"/>
    </row>
    <row r="30" spans="1:12" ht="13.35" customHeight="1">
      <c r="A30" s="40"/>
      <c r="B30" s="547"/>
      <c r="C30" s="547"/>
      <c r="D30" s="547"/>
      <c r="E30" s="547"/>
      <c r="F30" s="547"/>
      <c r="G30" s="548" t="s">
        <v>110</v>
      </c>
      <c r="H30" s="548"/>
      <c r="I30" s="548"/>
      <c r="J30" s="548"/>
      <c r="K30" s="548"/>
      <c r="L30" s="51"/>
    </row>
    <row r="31" spans="1:12" ht="6" customHeight="1">
      <c r="A31" s="40"/>
      <c r="B31" s="410"/>
      <c r="C31" s="410"/>
      <c r="D31" s="410"/>
      <c r="E31" s="410"/>
      <c r="F31" s="410"/>
      <c r="G31" s="410"/>
      <c r="H31" s="410"/>
      <c r="I31" s="410"/>
      <c r="J31" s="410"/>
      <c r="K31" s="410"/>
      <c r="L31" s="51"/>
    </row>
    <row r="32" spans="1:12">
      <c r="A32" s="40"/>
      <c r="B32" s="405" t="s">
        <v>111</v>
      </c>
      <c r="C32" s="405"/>
      <c r="D32" s="405"/>
      <c r="E32" s="405"/>
      <c r="F32" s="405"/>
      <c r="G32" s="405"/>
      <c r="H32" s="405"/>
      <c r="I32" s="405"/>
      <c r="J32" s="405"/>
      <c r="K32" s="405"/>
      <c r="L32" s="51"/>
    </row>
    <row r="33" spans="1:12" ht="36" customHeight="1">
      <c r="A33" s="40"/>
      <c r="B33" s="524" t="s">
        <v>602</v>
      </c>
      <c r="C33" s="491"/>
      <c r="D33" s="491"/>
      <c r="E33" s="491"/>
      <c r="F33" s="491"/>
      <c r="G33" s="491"/>
      <c r="H33" s="491"/>
      <c r="I33" s="491"/>
      <c r="J33" s="491"/>
      <c r="K33" s="491"/>
      <c r="L33" s="51"/>
    </row>
    <row r="34" spans="1:12" ht="40.049999999999997" customHeight="1">
      <c r="A34" s="40"/>
      <c r="B34" s="411" t="s">
        <v>606</v>
      </c>
      <c r="C34" s="542"/>
      <c r="D34" s="542"/>
      <c r="E34" s="542"/>
      <c r="F34" s="542"/>
      <c r="G34" s="542"/>
      <c r="H34" s="542"/>
      <c r="I34" s="542"/>
      <c r="J34" s="542"/>
      <c r="K34" s="542"/>
      <c r="L34" s="51"/>
    </row>
    <row r="35" spans="1:12" ht="40.049999999999997" customHeight="1">
      <c r="A35" s="40"/>
      <c r="B35" s="542"/>
      <c r="C35" s="542"/>
      <c r="D35" s="542"/>
      <c r="E35" s="542"/>
      <c r="F35" s="542"/>
      <c r="G35" s="542"/>
      <c r="H35" s="542"/>
      <c r="I35" s="542"/>
      <c r="J35" s="542"/>
      <c r="K35" s="542"/>
      <c r="L35" s="51"/>
    </row>
    <row r="36" spans="1:12" ht="40.049999999999997" customHeight="1">
      <c r="A36" s="40"/>
      <c r="B36" s="542"/>
      <c r="C36" s="542"/>
      <c r="D36" s="542"/>
      <c r="E36" s="542"/>
      <c r="F36" s="542"/>
      <c r="G36" s="542"/>
      <c r="H36" s="542"/>
      <c r="I36" s="542"/>
      <c r="J36" s="542"/>
      <c r="K36" s="542"/>
      <c r="L36" s="51"/>
    </row>
    <row r="37" spans="1:12" ht="40.049999999999997" customHeight="1">
      <c r="A37" s="40"/>
      <c r="B37" s="542"/>
      <c r="C37" s="542"/>
      <c r="D37" s="542"/>
      <c r="E37" s="542"/>
      <c r="F37" s="542"/>
      <c r="G37" s="542"/>
      <c r="H37" s="542"/>
      <c r="I37" s="542"/>
      <c r="J37" s="542"/>
      <c r="K37" s="542"/>
      <c r="L37" s="51"/>
    </row>
    <row r="38" spans="1:12" ht="37.950000000000003" customHeight="1">
      <c r="A38" s="40"/>
      <c r="B38" s="528" t="s">
        <v>603</v>
      </c>
      <c r="C38" s="544"/>
      <c r="D38" s="544"/>
      <c r="E38" s="544"/>
      <c r="F38" s="544"/>
      <c r="G38" s="544"/>
      <c r="H38" s="544"/>
      <c r="I38" s="544"/>
      <c r="J38" s="544"/>
      <c r="K38" s="544"/>
      <c r="L38" s="51"/>
    </row>
    <row r="39" spans="1:12">
      <c r="A39" s="40"/>
      <c r="B39" s="405" t="s">
        <v>112</v>
      </c>
      <c r="C39" s="405"/>
      <c r="D39" s="405"/>
      <c r="E39" s="405"/>
      <c r="F39" s="405"/>
      <c r="G39" s="405"/>
      <c r="H39" s="405"/>
      <c r="I39" s="405"/>
      <c r="J39" s="405"/>
      <c r="K39" s="405"/>
      <c r="L39" s="51"/>
    </row>
    <row r="40" spans="1:12" ht="37.950000000000003" customHeight="1">
      <c r="A40" s="40"/>
      <c r="B40" s="524" t="s">
        <v>604</v>
      </c>
      <c r="C40" s="491"/>
      <c r="D40" s="491"/>
      <c r="E40" s="491"/>
      <c r="F40" s="491"/>
      <c r="G40" s="491"/>
      <c r="H40" s="491"/>
      <c r="I40" s="491"/>
      <c r="J40" s="491"/>
      <c r="K40" s="491"/>
      <c r="L40" s="51"/>
    </row>
    <row r="41" spans="1:12" ht="42" customHeight="1">
      <c r="A41" s="40"/>
      <c r="B41" s="411" t="s">
        <v>607</v>
      </c>
      <c r="C41" s="542"/>
      <c r="D41" s="542"/>
      <c r="E41" s="542"/>
      <c r="F41" s="542"/>
      <c r="G41" s="542"/>
      <c r="H41" s="542"/>
      <c r="I41" s="542"/>
      <c r="J41" s="542"/>
      <c r="K41" s="542"/>
      <c r="L41" s="51"/>
    </row>
    <row r="42" spans="1:12" ht="42" customHeight="1">
      <c r="A42" s="40"/>
      <c r="B42" s="542"/>
      <c r="C42" s="542"/>
      <c r="D42" s="542"/>
      <c r="E42" s="542"/>
      <c r="F42" s="542"/>
      <c r="G42" s="542"/>
      <c r="H42" s="542"/>
      <c r="I42" s="542"/>
      <c r="J42" s="542"/>
      <c r="K42" s="542"/>
      <c r="L42" s="51"/>
    </row>
    <row r="43" spans="1:12" ht="42" customHeight="1">
      <c r="A43" s="40"/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1"/>
    </row>
    <row r="44" spans="1:12" ht="42" customHeight="1">
      <c r="A44" s="40"/>
      <c r="B44" s="542"/>
      <c r="C44" s="542"/>
      <c r="D44" s="542"/>
      <c r="E44" s="542"/>
      <c r="F44" s="542"/>
      <c r="G44" s="542"/>
      <c r="H44" s="542"/>
      <c r="I44" s="542"/>
      <c r="J44" s="542"/>
      <c r="K44" s="542"/>
      <c r="L44" s="51"/>
    </row>
    <row r="45" spans="1:12" ht="42" customHeight="1">
      <c r="A45" s="40"/>
      <c r="B45" s="542"/>
      <c r="C45" s="542"/>
      <c r="D45" s="542"/>
      <c r="E45" s="542"/>
      <c r="F45" s="542"/>
      <c r="G45" s="542"/>
      <c r="H45" s="542"/>
      <c r="I45" s="542"/>
      <c r="J45" s="542"/>
      <c r="K45" s="542"/>
      <c r="L45" s="51"/>
    </row>
    <row r="46" spans="1:12" ht="42" customHeight="1">
      <c r="A46" s="40"/>
      <c r="B46" s="525" t="s">
        <v>605</v>
      </c>
      <c r="C46" s="543"/>
      <c r="D46" s="543"/>
      <c r="E46" s="543"/>
      <c r="F46" s="543"/>
      <c r="G46" s="543"/>
      <c r="H46" s="543"/>
      <c r="I46" s="543"/>
      <c r="J46" s="543"/>
      <c r="K46" s="543"/>
      <c r="L46" s="51"/>
    </row>
    <row r="47" spans="1:12">
      <c r="A47" s="40"/>
      <c r="B47" s="405" t="s">
        <v>113</v>
      </c>
      <c r="C47" s="405"/>
      <c r="D47" s="405"/>
      <c r="E47" s="405"/>
      <c r="F47" s="405"/>
      <c r="G47" s="405"/>
      <c r="H47" s="405"/>
      <c r="I47" s="405"/>
      <c r="J47" s="405"/>
      <c r="K47" s="405"/>
      <c r="L47" s="51"/>
    </row>
    <row r="48" spans="1:12" ht="6" customHeight="1">
      <c r="A48" s="40"/>
      <c r="B48" s="410"/>
      <c r="C48" s="410"/>
      <c r="D48" s="410"/>
      <c r="E48" s="410"/>
      <c r="F48" s="410"/>
      <c r="G48" s="410"/>
      <c r="H48" s="410"/>
      <c r="I48" s="410"/>
      <c r="J48" s="410"/>
      <c r="K48" s="410"/>
      <c r="L48" s="51"/>
    </row>
    <row r="49" spans="1:12" ht="12.75" customHeight="1">
      <c r="A49" s="40"/>
      <c r="B49" s="538" t="s">
        <v>53</v>
      </c>
      <c r="C49" s="538"/>
      <c r="D49" s="538"/>
      <c r="E49" s="538"/>
      <c r="F49" s="117" t="s">
        <v>73</v>
      </c>
      <c r="G49" s="538" t="s">
        <v>54</v>
      </c>
      <c r="H49" s="538"/>
      <c r="I49" s="538"/>
      <c r="J49" s="538"/>
      <c r="K49" s="538"/>
      <c r="L49" s="51"/>
    </row>
    <row r="50" spans="1:12" ht="25.95" customHeight="1">
      <c r="A50" s="40"/>
      <c r="B50" s="539" t="s">
        <v>610</v>
      </c>
      <c r="C50" s="539"/>
      <c r="D50" s="539"/>
      <c r="E50" s="539"/>
      <c r="F50" s="301" t="s">
        <v>523</v>
      </c>
      <c r="G50" s="540" t="s">
        <v>525</v>
      </c>
      <c r="H50" s="540"/>
      <c r="I50" s="540"/>
      <c r="J50" s="540"/>
      <c r="K50" s="540"/>
      <c r="L50" s="51"/>
    </row>
    <row r="51" spans="1:12" ht="25.95" customHeight="1">
      <c r="A51" s="40"/>
      <c r="B51" s="541" t="s">
        <v>345</v>
      </c>
      <c r="C51" s="541"/>
      <c r="D51" s="541"/>
      <c r="E51" s="541"/>
      <c r="F51" s="302" t="s">
        <v>608</v>
      </c>
      <c r="G51" s="540" t="s">
        <v>609</v>
      </c>
      <c r="H51" s="540"/>
      <c r="I51" s="540"/>
      <c r="J51" s="540"/>
      <c r="K51" s="540"/>
      <c r="L51" s="51"/>
    </row>
    <row r="52" spans="1:12" ht="25.95" customHeight="1">
      <c r="A52" s="40"/>
      <c r="B52" s="539" t="s">
        <v>611</v>
      </c>
      <c r="C52" s="539"/>
      <c r="D52" s="539"/>
      <c r="E52" s="539"/>
      <c r="F52" s="301" t="s">
        <v>529</v>
      </c>
      <c r="G52" s="540" t="s">
        <v>531</v>
      </c>
      <c r="H52" s="540"/>
      <c r="I52" s="540"/>
      <c r="J52" s="540"/>
      <c r="K52" s="540"/>
      <c r="L52" s="51"/>
    </row>
    <row r="53" spans="1:12" ht="8.25" customHeight="1">
      <c r="A53" s="40"/>
      <c r="B53" s="534"/>
      <c r="C53" s="534"/>
      <c r="D53" s="534"/>
      <c r="E53" s="534"/>
      <c r="F53" s="534"/>
      <c r="G53" s="534"/>
      <c r="H53" s="534"/>
      <c r="I53" s="534"/>
      <c r="J53" s="534"/>
      <c r="K53" s="534"/>
      <c r="L53" s="51"/>
    </row>
    <row r="54" spans="1:12">
      <c r="A54" s="40"/>
      <c r="B54" s="405" t="s">
        <v>114</v>
      </c>
      <c r="C54" s="405"/>
      <c r="D54" s="405"/>
      <c r="E54" s="405"/>
      <c r="F54" s="405"/>
      <c r="G54" s="405"/>
      <c r="H54" s="405"/>
      <c r="I54" s="405"/>
      <c r="J54" s="405"/>
      <c r="K54" s="405"/>
      <c r="L54" s="51"/>
    </row>
    <row r="55" spans="1:12" ht="6" customHeight="1">
      <c r="A55" s="40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51"/>
    </row>
    <row r="56" spans="1:12">
      <c r="A56" s="40"/>
      <c r="B56" s="408" t="s">
        <v>27</v>
      </c>
      <c r="C56" s="408"/>
      <c r="D56" s="3" t="s">
        <v>591</v>
      </c>
      <c r="E56" s="535" t="s">
        <v>288</v>
      </c>
      <c r="F56" s="536"/>
      <c r="G56" s="535" t="s">
        <v>444</v>
      </c>
      <c r="H56" s="537"/>
      <c r="I56" s="537"/>
      <c r="J56" s="537"/>
      <c r="K56" s="536"/>
      <c r="L56" s="51"/>
    </row>
    <row r="57" spans="1:12">
      <c r="A57" s="62"/>
      <c r="B57" s="533"/>
      <c r="C57" s="533"/>
      <c r="D57" s="533"/>
      <c r="E57" s="533"/>
      <c r="F57" s="533"/>
      <c r="G57" s="533"/>
      <c r="H57" s="533"/>
      <c r="I57" s="533"/>
      <c r="J57" s="533"/>
      <c r="K57" s="533"/>
      <c r="L57" s="91"/>
    </row>
  </sheetData>
  <sheetProtection selectLockedCells="1" selectUnlockedCells="1"/>
  <mergeCells count="63">
    <mergeCell ref="F2:K2"/>
    <mergeCell ref="B3:K3"/>
    <mergeCell ref="B5:K5"/>
    <mergeCell ref="B6:K6"/>
    <mergeCell ref="B7:H7"/>
    <mergeCell ref="B9:C9"/>
    <mergeCell ref="E9:F9"/>
    <mergeCell ref="G9:H9"/>
    <mergeCell ref="G11:H11"/>
    <mergeCell ref="B13:D13"/>
    <mergeCell ref="E13:H13"/>
    <mergeCell ref="B15:K15"/>
    <mergeCell ref="B16:K16"/>
    <mergeCell ref="C17:H17"/>
    <mergeCell ref="I17:K17"/>
    <mergeCell ref="C18:H18"/>
    <mergeCell ref="I18:K18"/>
    <mergeCell ref="C19:H19"/>
    <mergeCell ref="I19:K19"/>
    <mergeCell ref="C20:H20"/>
    <mergeCell ref="I20:K20"/>
    <mergeCell ref="C21:H21"/>
    <mergeCell ref="I21:K21"/>
    <mergeCell ref="C22:H22"/>
    <mergeCell ref="I22:K22"/>
    <mergeCell ref="B23:K23"/>
    <mergeCell ref="B24:K24"/>
    <mergeCell ref="B25:K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K31"/>
    <mergeCell ref="B32:K32"/>
    <mergeCell ref="B33:K33"/>
    <mergeCell ref="B34:K37"/>
    <mergeCell ref="B38:K38"/>
    <mergeCell ref="B39:K39"/>
    <mergeCell ref="B52:E52"/>
    <mergeCell ref="G52:K52"/>
    <mergeCell ref="B40:K40"/>
    <mergeCell ref="B41:K45"/>
    <mergeCell ref="B46:K46"/>
    <mergeCell ref="B47:K47"/>
    <mergeCell ref="B48:K48"/>
    <mergeCell ref="B49:E49"/>
    <mergeCell ref="G49:K49"/>
    <mergeCell ref="B50:E50"/>
    <mergeCell ref="G50:K50"/>
    <mergeCell ref="B51:E51"/>
    <mergeCell ref="G51:K51"/>
    <mergeCell ref="B57:K57"/>
    <mergeCell ref="B53:K53"/>
    <mergeCell ref="B54:K54"/>
    <mergeCell ref="B56:C56"/>
    <mergeCell ref="E56:F56"/>
    <mergeCell ref="G56:K56"/>
  </mergeCells>
  <phoneticPr fontId="27" type="noConversion"/>
  <dataValidations count="1">
    <dataValidation type="list" operator="equal" allowBlank="1" showErrorMessage="1" sqref="E13" xr:uid="{00000000-0002-0000-0D00-000000000000}">
      <formula1>"CONFIDENCIAL,CORPORATIVO,RESERVADO,"</formula1>
      <formula2>0</formula2>
    </dataValidation>
  </dataValidations>
  <hyperlinks>
    <hyperlink ref="F51" r:id="rId1" xr:uid="{DB90251C-8D30-4147-924E-38662722D5C0}"/>
  </hyperlinks>
  <pageMargins left="0.15763888888888888" right="0.15763888888888888" top="0.55069444444444449" bottom="0.19652777777777777" header="0.35416666666666669" footer="0.19652777777777777"/>
  <pageSetup paperSize="9" firstPageNumber="0" orientation="portrait" horizontalDpi="300" verticalDpi="300"/>
  <headerFooter alignWithMargins="0">
    <oddHeader>&amp;R&amp;"Arial,Negrito"&amp;12CORPORATIVO</oddHeader>
    <oddFooter xml:space="preserve">&amp;LGestor: TIC/TIC-EP/GDIEP &amp;C&amp;P&amp;Rversão 1.0 - janeiro/2010 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P64"/>
  <sheetViews>
    <sheetView showGridLines="0" workbookViewId="0">
      <selection activeCell="B3" sqref="B3:H3"/>
    </sheetView>
  </sheetViews>
  <sheetFormatPr defaultColWidth="11.44140625" defaultRowHeight="12.6"/>
  <cols>
    <col min="1" max="1" width="2.44140625" style="44" customWidth="1"/>
    <col min="2" max="2" width="4.77734375" style="44" customWidth="1"/>
    <col min="3" max="3" width="12.109375" style="44" bestFit="1" customWidth="1"/>
    <col min="4" max="4" width="37.21875" style="44" customWidth="1"/>
    <col min="5" max="5" width="11.77734375" style="44" customWidth="1"/>
    <col min="6" max="6" width="9.44140625" style="44" customWidth="1"/>
    <col min="7" max="7" width="17.21875" style="44" customWidth="1"/>
    <col min="8" max="8" width="49.109375" style="44" customWidth="1"/>
    <col min="9" max="9" width="2.44140625" style="44" customWidth="1"/>
    <col min="10" max="10" width="11.44140625" style="72" customWidth="1"/>
    <col min="11" max="198" width="11.44140625" style="44" customWidth="1"/>
    <col min="199" max="16384" width="11.44140625" style="72"/>
  </cols>
  <sheetData>
    <row r="1" spans="1:10" ht="6" customHeight="1">
      <c r="J1" s="44"/>
    </row>
    <row r="2" spans="1:10" ht="21.75" customHeight="1">
      <c r="A2" s="119"/>
      <c r="B2" s="120"/>
      <c r="C2" s="120"/>
      <c r="D2" s="120"/>
      <c r="E2" s="318" t="s">
        <v>115</v>
      </c>
      <c r="F2" s="318"/>
      <c r="G2" s="318"/>
      <c r="H2" s="318"/>
      <c r="I2" s="121"/>
      <c r="J2" s="44"/>
    </row>
    <row r="3" spans="1:10" ht="25.5" customHeight="1">
      <c r="A3" s="122"/>
      <c r="B3" s="319" t="str">
        <f>'Declaração de Escopo do Projeto'!B7:H7</f>
        <v>Vertex Londrina 360</v>
      </c>
      <c r="C3" s="319"/>
      <c r="D3" s="319"/>
      <c r="E3" s="319"/>
      <c r="F3" s="319"/>
      <c r="G3" s="319"/>
      <c r="H3" s="319"/>
      <c r="I3" s="73"/>
      <c r="J3" s="44"/>
    </row>
    <row r="4" spans="1:10" ht="6.75" customHeight="1">
      <c r="A4" s="122"/>
      <c r="B4" s="88"/>
      <c r="C4" s="88"/>
      <c r="D4" s="88"/>
      <c r="E4" s="88"/>
      <c r="F4" s="88"/>
      <c r="G4" s="88"/>
      <c r="H4" s="88"/>
      <c r="I4" s="73"/>
      <c r="J4" s="44"/>
    </row>
    <row r="5" spans="1:10" ht="53.25" customHeight="1" thickBot="1">
      <c r="A5" s="122"/>
      <c r="B5" s="123" t="s">
        <v>116</v>
      </c>
      <c r="C5" s="123" t="s">
        <v>117</v>
      </c>
      <c r="D5" s="123" t="s">
        <v>3</v>
      </c>
      <c r="E5" s="123" t="s">
        <v>118</v>
      </c>
      <c r="F5" s="123" t="s">
        <v>119</v>
      </c>
      <c r="G5" s="123" t="s">
        <v>50</v>
      </c>
      <c r="H5" s="123" t="s">
        <v>120</v>
      </c>
      <c r="I5" s="73"/>
      <c r="J5" s="44"/>
    </row>
    <row r="6" spans="1:10" ht="31.5" customHeight="1" thickBot="1">
      <c r="A6" s="122"/>
      <c r="B6" s="231">
        <v>1</v>
      </c>
      <c r="C6" s="232">
        <v>46318</v>
      </c>
      <c r="D6" s="234" t="s">
        <v>294</v>
      </c>
      <c r="E6" s="233">
        <v>0</v>
      </c>
      <c r="F6" s="233">
        <v>1</v>
      </c>
      <c r="G6" s="233" t="s">
        <v>357</v>
      </c>
      <c r="H6" s="235" t="s">
        <v>612</v>
      </c>
      <c r="I6" s="73"/>
      <c r="J6" s="44"/>
    </row>
    <row r="7" spans="1:10" ht="25.2">
      <c r="A7" s="122"/>
      <c r="B7" s="303">
        <v>2</v>
      </c>
      <c r="C7" s="304">
        <v>46318</v>
      </c>
      <c r="D7" s="305" t="s">
        <v>294</v>
      </c>
      <c r="E7" s="306">
        <v>1</v>
      </c>
      <c r="F7" s="306">
        <v>2</v>
      </c>
      <c r="G7" s="306" t="s">
        <v>358</v>
      </c>
      <c r="H7" s="307" t="s">
        <v>295</v>
      </c>
      <c r="I7" s="73"/>
      <c r="J7" s="44"/>
    </row>
    <row r="8" spans="1:10" ht="12" customHeight="1">
      <c r="A8" s="122"/>
      <c r="B8" s="125"/>
      <c r="C8" s="118"/>
      <c r="D8" s="118"/>
      <c r="E8" s="118"/>
      <c r="F8" s="118"/>
      <c r="G8" s="118"/>
      <c r="H8" s="126"/>
      <c r="I8" s="73"/>
      <c r="J8" s="44"/>
    </row>
    <row r="9" spans="1:10" ht="12" customHeight="1">
      <c r="A9" s="122"/>
      <c r="B9" s="125"/>
      <c r="C9" s="118"/>
      <c r="D9" s="118"/>
      <c r="E9" s="118"/>
      <c r="F9" s="118"/>
      <c r="G9" s="118"/>
      <c r="H9" s="126"/>
      <c r="I9" s="73"/>
      <c r="J9" s="44"/>
    </row>
    <row r="10" spans="1:10" ht="12" customHeight="1">
      <c r="A10" s="122"/>
      <c r="B10" s="125"/>
      <c r="C10" s="118"/>
      <c r="D10" s="118"/>
      <c r="E10" s="118"/>
      <c r="F10" s="118"/>
      <c r="G10" s="118"/>
      <c r="H10" s="126"/>
      <c r="I10" s="73"/>
      <c r="J10" s="44"/>
    </row>
    <row r="11" spans="1:10" ht="12" customHeight="1">
      <c r="A11" s="122"/>
      <c r="B11" s="125"/>
      <c r="C11" s="118"/>
      <c r="D11" s="118"/>
      <c r="E11" s="118"/>
      <c r="F11" s="118"/>
      <c r="G11" s="118"/>
      <c r="H11" s="126"/>
      <c r="I11" s="73"/>
      <c r="J11" s="44"/>
    </row>
    <row r="12" spans="1:10" ht="12" customHeight="1">
      <c r="A12" s="122"/>
      <c r="B12" s="125"/>
      <c r="C12" s="118"/>
      <c r="D12" s="118"/>
      <c r="E12" s="118"/>
      <c r="F12" s="118"/>
      <c r="G12" s="118"/>
      <c r="H12" s="126"/>
      <c r="I12" s="73"/>
      <c r="J12" s="44"/>
    </row>
    <row r="13" spans="1:10" ht="12" customHeight="1">
      <c r="A13" s="122"/>
      <c r="B13" s="125"/>
      <c r="C13" s="118"/>
      <c r="D13" s="118"/>
      <c r="E13" s="118"/>
      <c r="F13" s="118"/>
      <c r="G13" s="118"/>
      <c r="H13" s="126"/>
      <c r="I13" s="73"/>
      <c r="J13" s="44"/>
    </row>
    <row r="14" spans="1:10" ht="12" customHeight="1">
      <c r="A14" s="122"/>
      <c r="B14" s="125"/>
      <c r="C14" s="118"/>
      <c r="D14" s="118"/>
      <c r="E14" s="118"/>
      <c r="F14" s="118"/>
      <c r="G14" s="118"/>
      <c r="H14" s="126"/>
      <c r="I14" s="73"/>
      <c r="J14" s="44"/>
    </row>
    <row r="15" spans="1:10" ht="12" customHeight="1">
      <c r="A15" s="122"/>
      <c r="B15" s="125"/>
      <c r="C15" s="118"/>
      <c r="D15" s="118"/>
      <c r="E15" s="118"/>
      <c r="F15" s="118"/>
      <c r="G15" s="118"/>
      <c r="H15" s="126"/>
      <c r="I15" s="73"/>
      <c r="J15" s="44"/>
    </row>
    <row r="16" spans="1:10" ht="12" customHeight="1">
      <c r="A16" s="122"/>
      <c r="B16" s="125"/>
      <c r="C16" s="118"/>
      <c r="D16" s="118"/>
      <c r="E16" s="118"/>
      <c r="F16" s="118"/>
      <c r="G16" s="118"/>
      <c r="H16" s="126"/>
      <c r="I16" s="73"/>
      <c r="J16" s="44"/>
    </row>
    <row r="17" spans="1:9" s="44" customFormat="1" ht="12" customHeight="1">
      <c r="A17" s="122"/>
      <c r="B17" s="125"/>
      <c r="C17" s="118"/>
      <c r="D17" s="118"/>
      <c r="E17" s="118"/>
      <c r="F17" s="118"/>
      <c r="G17" s="118"/>
      <c r="H17" s="126"/>
      <c r="I17" s="73"/>
    </row>
    <row r="18" spans="1:9" s="44" customFormat="1" ht="12" customHeight="1">
      <c r="A18" s="122"/>
      <c r="B18" s="125"/>
      <c r="C18" s="118"/>
      <c r="D18" s="118"/>
      <c r="E18" s="118"/>
      <c r="F18" s="118"/>
      <c r="G18" s="118"/>
      <c r="H18" s="126"/>
      <c r="I18" s="73"/>
    </row>
    <row r="19" spans="1:9" s="44" customFormat="1" ht="12" customHeight="1">
      <c r="A19" s="122"/>
      <c r="B19" s="125"/>
      <c r="C19" s="118"/>
      <c r="D19" s="118"/>
      <c r="E19" s="118"/>
      <c r="F19" s="118"/>
      <c r="G19" s="118"/>
      <c r="H19" s="126"/>
      <c r="I19" s="73"/>
    </row>
    <row r="20" spans="1:9" s="44" customFormat="1" ht="12" customHeight="1">
      <c r="A20" s="122"/>
      <c r="B20" s="125"/>
      <c r="C20" s="118"/>
      <c r="D20" s="118"/>
      <c r="E20" s="118"/>
      <c r="F20" s="118"/>
      <c r="G20" s="118"/>
      <c r="H20" s="126"/>
      <c r="I20" s="73"/>
    </row>
    <row r="21" spans="1:9" s="44" customFormat="1" ht="12" customHeight="1">
      <c r="A21" s="122"/>
      <c r="B21" s="125"/>
      <c r="C21" s="118"/>
      <c r="D21" s="118"/>
      <c r="E21" s="118"/>
      <c r="F21" s="118"/>
      <c r="G21" s="118"/>
      <c r="H21" s="126"/>
      <c r="I21" s="73"/>
    </row>
    <row r="22" spans="1:9" s="44" customFormat="1" ht="12" customHeight="1">
      <c r="A22" s="122"/>
      <c r="B22" s="125"/>
      <c r="C22" s="118"/>
      <c r="D22" s="118"/>
      <c r="E22" s="118"/>
      <c r="F22" s="118"/>
      <c r="G22" s="118"/>
      <c r="H22" s="126"/>
      <c r="I22" s="73"/>
    </row>
    <row r="23" spans="1:9" s="44" customFormat="1" ht="12" customHeight="1">
      <c r="A23" s="122"/>
      <c r="B23" s="125"/>
      <c r="C23" s="118"/>
      <c r="D23" s="118"/>
      <c r="E23" s="118"/>
      <c r="F23" s="118"/>
      <c r="G23" s="118"/>
      <c r="H23" s="126"/>
      <c r="I23" s="73"/>
    </row>
    <row r="24" spans="1:9" s="44" customFormat="1" ht="12" customHeight="1">
      <c r="A24" s="122"/>
      <c r="B24" s="125"/>
      <c r="C24" s="118"/>
      <c r="D24" s="118"/>
      <c r="E24" s="118"/>
      <c r="F24" s="118"/>
      <c r="G24" s="118"/>
      <c r="H24" s="126"/>
      <c r="I24" s="73"/>
    </row>
    <row r="25" spans="1:9" s="44" customFormat="1" ht="12" customHeight="1">
      <c r="A25" s="122"/>
      <c r="B25" s="125"/>
      <c r="C25" s="118"/>
      <c r="D25" s="118"/>
      <c r="E25" s="118"/>
      <c r="F25" s="118"/>
      <c r="G25" s="118"/>
      <c r="H25" s="126"/>
      <c r="I25" s="73"/>
    </row>
    <row r="26" spans="1:9" s="44" customFormat="1" ht="12" customHeight="1">
      <c r="A26" s="122"/>
      <c r="B26" s="125"/>
      <c r="C26" s="118"/>
      <c r="D26" s="118"/>
      <c r="E26" s="118"/>
      <c r="F26" s="118"/>
      <c r="G26" s="118"/>
      <c r="H26" s="126"/>
      <c r="I26" s="73"/>
    </row>
    <row r="27" spans="1:9" s="44" customFormat="1" ht="12" customHeight="1">
      <c r="A27" s="122"/>
      <c r="B27" s="125"/>
      <c r="C27" s="118"/>
      <c r="D27" s="118"/>
      <c r="E27" s="118"/>
      <c r="F27" s="118"/>
      <c r="G27" s="118"/>
      <c r="H27" s="126"/>
      <c r="I27" s="73"/>
    </row>
    <row r="28" spans="1:9" s="44" customFormat="1" ht="12" customHeight="1">
      <c r="A28" s="122"/>
      <c r="B28" s="125"/>
      <c r="C28" s="118"/>
      <c r="D28" s="118"/>
      <c r="E28" s="118"/>
      <c r="F28" s="118"/>
      <c r="G28" s="118"/>
      <c r="H28" s="126"/>
      <c r="I28" s="73"/>
    </row>
    <row r="29" spans="1:9" s="44" customFormat="1" ht="12" customHeight="1">
      <c r="A29" s="122"/>
      <c r="B29" s="125"/>
      <c r="C29" s="118"/>
      <c r="D29" s="118"/>
      <c r="E29" s="118"/>
      <c r="F29" s="118"/>
      <c r="G29" s="118"/>
      <c r="H29" s="126"/>
      <c r="I29" s="73"/>
    </row>
    <row r="30" spans="1:9" s="44" customFormat="1" ht="12" customHeight="1">
      <c r="A30" s="122"/>
      <c r="B30" s="125"/>
      <c r="C30" s="118"/>
      <c r="D30" s="118"/>
      <c r="E30" s="118"/>
      <c r="F30" s="118"/>
      <c r="G30" s="118"/>
      <c r="H30" s="126"/>
      <c r="I30" s="73"/>
    </row>
    <row r="31" spans="1:9" s="44" customFormat="1" ht="12" customHeight="1">
      <c r="A31" s="122"/>
      <c r="B31" s="125"/>
      <c r="C31" s="118"/>
      <c r="D31" s="118"/>
      <c r="E31" s="118"/>
      <c r="F31" s="118"/>
      <c r="G31" s="118"/>
      <c r="H31" s="126"/>
      <c r="I31" s="73"/>
    </row>
    <row r="32" spans="1:9" s="44" customFormat="1" ht="12" customHeight="1">
      <c r="A32" s="122"/>
      <c r="B32" s="125"/>
      <c r="C32" s="118"/>
      <c r="D32" s="118"/>
      <c r="E32" s="118"/>
      <c r="F32" s="118"/>
      <c r="G32" s="118"/>
      <c r="H32" s="126"/>
      <c r="I32" s="73"/>
    </row>
    <row r="33" spans="1:10" ht="12" customHeight="1">
      <c r="A33" s="122"/>
      <c r="B33" s="125"/>
      <c r="C33" s="118"/>
      <c r="D33" s="118"/>
      <c r="E33" s="118"/>
      <c r="F33" s="118"/>
      <c r="G33" s="118"/>
      <c r="H33" s="126"/>
      <c r="I33" s="73"/>
      <c r="J33" s="44"/>
    </row>
    <row r="34" spans="1:10" ht="12" customHeight="1">
      <c r="A34" s="122"/>
      <c r="B34" s="125"/>
      <c r="C34" s="118"/>
      <c r="D34" s="118"/>
      <c r="E34" s="118"/>
      <c r="F34" s="118"/>
      <c r="G34" s="118"/>
      <c r="H34" s="126"/>
      <c r="I34" s="73"/>
      <c r="J34" s="44"/>
    </row>
    <row r="35" spans="1:10" ht="12" customHeight="1">
      <c r="A35" s="122"/>
      <c r="B35" s="127"/>
      <c r="C35" s="128"/>
      <c r="D35" s="128"/>
      <c r="E35" s="128"/>
      <c r="F35" s="128"/>
      <c r="G35" s="128"/>
      <c r="H35" s="129"/>
      <c r="I35" s="73"/>
      <c r="J35" s="44"/>
    </row>
    <row r="36" spans="1:10" ht="22.2">
      <c r="A36" s="130"/>
      <c r="B36" s="131"/>
      <c r="C36" s="131"/>
      <c r="D36" s="131"/>
      <c r="E36" s="131"/>
      <c r="F36" s="131"/>
      <c r="G36" s="131"/>
      <c r="H36" s="131"/>
      <c r="I36" s="132"/>
      <c r="J36" s="44"/>
    </row>
    <row r="37" spans="1:10">
      <c r="J37" s="44"/>
    </row>
    <row r="38" spans="1:10">
      <c r="J38" s="44"/>
    </row>
    <row r="39" spans="1:10">
      <c r="J39" s="44"/>
    </row>
    <row r="40" spans="1:10">
      <c r="J40" s="44"/>
    </row>
    <row r="41" spans="1:10">
      <c r="J41" s="44"/>
    </row>
    <row r="42" spans="1:10">
      <c r="J42" s="44"/>
    </row>
    <row r="43" spans="1:10">
      <c r="J43" s="44"/>
    </row>
    <row r="44" spans="1:10">
      <c r="J44" s="44"/>
    </row>
    <row r="45" spans="1:10">
      <c r="J45" s="44"/>
    </row>
    <row r="46" spans="1:10">
      <c r="J46" s="44"/>
    </row>
    <row r="47" spans="1:10">
      <c r="J47" s="44"/>
    </row>
    <row r="48" spans="1:10">
      <c r="J48" s="44"/>
    </row>
    <row r="49" spans="10:10">
      <c r="J49" s="44"/>
    </row>
    <row r="50" spans="10:10">
      <c r="J50" s="44"/>
    </row>
    <row r="51" spans="10:10">
      <c r="J51" s="44"/>
    </row>
    <row r="52" spans="10:10">
      <c r="J52" s="44"/>
    </row>
    <row r="53" spans="10:10">
      <c r="J53" s="44"/>
    </row>
    <row r="54" spans="10:10">
      <c r="J54" s="44"/>
    </row>
    <row r="55" spans="10:10">
      <c r="J55" s="44"/>
    </row>
    <row r="56" spans="10:10">
      <c r="J56" s="44"/>
    </row>
    <row r="57" spans="10:10">
      <c r="J57" s="44"/>
    </row>
    <row r="58" spans="10:10">
      <c r="J58" s="44"/>
    </row>
    <row r="59" spans="10:10">
      <c r="J59" s="44"/>
    </row>
    <row r="60" spans="10:10">
      <c r="J60" s="44"/>
    </row>
    <row r="61" spans="10:10">
      <c r="J61" s="44"/>
    </row>
    <row r="62" spans="10:10">
      <c r="J62" s="44"/>
    </row>
    <row r="63" spans="10:10">
      <c r="J63" s="44"/>
    </row>
    <row r="64" spans="10:10">
      <c r="J64" s="44"/>
    </row>
  </sheetData>
  <sheetProtection selectLockedCells="1" selectUnlockedCells="1"/>
  <mergeCells count="2">
    <mergeCell ref="E2:H2"/>
    <mergeCell ref="B3:H3"/>
  </mergeCells>
  <phoneticPr fontId="27" type="noConversion"/>
  <pageMargins left="0.2" right="0.19027777777777777" top="0.61944444444444446" bottom="0.58958333333333335" header="0.20972222222222223" footer="0.37986111111111109"/>
  <pageSetup paperSize="9" firstPageNumber="0" orientation="landscape" horizontalDpi="300" verticalDpi="300"/>
  <headerFooter alignWithMargins="0">
    <oddHeader>&amp;R&amp;"Arial,Negrito"&amp;12CORPORATIVO</oddHeader>
    <oddFooter>&amp;LGestor: TIC/TIC-EP/GDIEP&amp;CPágina &amp;P de &amp;N&amp;Rversão 1.0 - janeiro/2010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9</vt:i4>
      </vt:variant>
    </vt:vector>
  </HeadingPairs>
  <TitlesOfParts>
    <vt:vector size="26" baseType="lpstr">
      <vt:lpstr>Instruções</vt:lpstr>
      <vt:lpstr>TAP</vt:lpstr>
      <vt:lpstr>EAP</vt:lpstr>
      <vt:lpstr>Declaração de Escopo do Projeto</vt:lpstr>
      <vt:lpstr>Cronograma Inicial</vt:lpstr>
      <vt:lpstr>Recursos</vt:lpstr>
      <vt:lpstr>Matriz de Responsabilidades</vt:lpstr>
      <vt:lpstr>Orçamento 1</vt:lpstr>
      <vt:lpstr>Orçamento 2</vt:lpstr>
      <vt:lpstr>Qualidade</vt:lpstr>
      <vt:lpstr>Plano de Riscos</vt:lpstr>
      <vt:lpstr>Stakeholders</vt:lpstr>
      <vt:lpstr>Lições Aprendidas</vt:lpstr>
      <vt:lpstr>Plano de Comunicação</vt:lpstr>
      <vt:lpstr>Solicitação de Mudanças</vt:lpstr>
      <vt:lpstr>Termo de Encerramento</vt:lpstr>
      <vt:lpstr>Controle de Versões</vt:lpstr>
      <vt:lpstr>'Controle de Versões'!Area_de_impressao</vt:lpstr>
      <vt:lpstr>'Cronograma Inicial'!Area_de_impressao</vt:lpstr>
      <vt:lpstr>Instruções!Area_de_impressao</vt:lpstr>
      <vt:lpstr>'Matriz de Responsabilidades'!Area_de_impressao</vt:lpstr>
      <vt:lpstr>'Orçamento 1'!Area_de_impressao</vt:lpstr>
      <vt:lpstr>'Plano de Riscos'!Area_de_impressao</vt:lpstr>
      <vt:lpstr>Recursos!Area_de_impressao</vt:lpstr>
      <vt:lpstr>Stakeholders!Area_de_impressao</vt:lpstr>
      <vt:lpstr>'Declaração de Escopo do Projeto'!Titulos_de_impressao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Soares</dc:creator>
  <cp:lastModifiedBy>Everton Alessandro dos Santos</cp:lastModifiedBy>
  <dcterms:created xsi:type="dcterms:W3CDTF">2012-10-17T11:05:39Z</dcterms:created>
  <dcterms:modified xsi:type="dcterms:W3CDTF">2026-10-23T20:33:11Z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2026-10-23T19:19:52Z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2b900351-ca90-49eb-88af-5965df9482c6</vt:lpwstr>
  </property>
  <property fmtid="{D5CDD505-2E9C-101B-9397-08002B2CF9AE}" pid="8" name="MSIP_Label_fde7aacd-7cc4-4c31-9e6f-7ef306428f09_ContentBits">
    <vt:lpwstr>1</vt:lpwstr>
  </property>
  <property fmtid="{D5CDD505-2E9C-101B-9397-08002B2CF9AE}" pid="9" name="MSIP_Label_fde7aacd-7cc4-4c31-9e6f-7ef306428f09_Tag">
    <vt:lpwstr>10, 0, 1, 1</vt:lpwstr>
  </property>
</Properties>
</file>